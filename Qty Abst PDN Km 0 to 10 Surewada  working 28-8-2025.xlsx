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Gauravsir\f\001. NHM TENDER\1. HDPE Pipe Project\Ambadi Project\"/>
    </mc:Choice>
  </mc:AlternateContent>
  <xr:revisionPtr revIDLastSave="0" documentId="13_ncr:1_{B41959C9-2131-4669-B8AF-0DFBDDD971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Sheet1" sheetId="3" r:id="rId2"/>
    <sheet name="COMPARITIVE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Print_Area" localSheetId="0">'Table 1'!$A$1:$Z$145</definedName>
    <definedName name="_xlnm.Print_Titles" localSheetId="0">'Table 1'!$1:$4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80" i="3" l="1"/>
  <c r="AI122" i="3"/>
  <c r="A5" i="3"/>
  <c r="B5" i="3"/>
  <c r="C5" i="3"/>
  <c r="D5" i="3"/>
  <c r="E5" i="3"/>
  <c r="T5" i="3"/>
  <c r="U5" i="3"/>
  <c r="A6" i="3"/>
  <c r="B6" i="3"/>
  <c r="C6" i="3"/>
  <c r="D6" i="3"/>
  <c r="E6" i="3"/>
  <c r="T6" i="3"/>
  <c r="U6" i="3"/>
  <c r="A7" i="3"/>
  <c r="B7" i="3"/>
  <c r="C7" i="3"/>
  <c r="D7" i="3"/>
  <c r="E7" i="3"/>
  <c r="T7" i="3"/>
  <c r="U7" i="3"/>
  <c r="A8" i="3"/>
  <c r="B8" i="3"/>
  <c r="C8" i="3"/>
  <c r="D8" i="3"/>
  <c r="E8" i="3"/>
  <c r="T8" i="3"/>
  <c r="U8" i="3"/>
  <c r="A9" i="3"/>
  <c r="B9" i="3"/>
  <c r="C9" i="3"/>
  <c r="D9" i="3"/>
  <c r="E9" i="3"/>
  <c r="T9" i="3"/>
  <c r="U9" i="3"/>
  <c r="A10" i="3"/>
  <c r="B10" i="3"/>
  <c r="C10" i="3"/>
  <c r="D10" i="3"/>
  <c r="E10" i="3"/>
  <c r="T10" i="3"/>
  <c r="U10" i="3"/>
  <c r="A11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A12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A13" i="3"/>
  <c r="B13" i="3"/>
  <c r="C13" i="3"/>
  <c r="D13" i="3"/>
  <c r="E13" i="3"/>
  <c r="T13" i="3"/>
  <c r="U13" i="3"/>
  <c r="A14" i="3"/>
  <c r="B14" i="3"/>
  <c r="C14" i="3"/>
  <c r="D14" i="3"/>
  <c r="E14" i="3"/>
  <c r="T14" i="3"/>
  <c r="U14" i="3"/>
  <c r="A15" i="3"/>
  <c r="B15" i="3"/>
  <c r="C15" i="3"/>
  <c r="D15" i="3"/>
  <c r="E15" i="3"/>
  <c r="T15" i="3"/>
  <c r="U15" i="3"/>
  <c r="A16" i="3"/>
  <c r="B16" i="3"/>
  <c r="C16" i="3"/>
  <c r="D16" i="3"/>
  <c r="E16" i="3"/>
  <c r="T16" i="3"/>
  <c r="U16" i="3"/>
  <c r="A17" i="3"/>
  <c r="B17" i="3"/>
  <c r="C17" i="3"/>
  <c r="D17" i="3"/>
  <c r="E17" i="3"/>
  <c r="T17" i="3"/>
  <c r="U17" i="3"/>
  <c r="A18" i="3"/>
  <c r="B18" i="3"/>
  <c r="C18" i="3"/>
  <c r="D18" i="3"/>
  <c r="E18" i="3"/>
  <c r="T18" i="3"/>
  <c r="U18" i="3"/>
  <c r="A19" i="3"/>
  <c r="B19" i="3"/>
  <c r="C19" i="3"/>
  <c r="D19" i="3"/>
  <c r="E19" i="3"/>
  <c r="T19" i="3"/>
  <c r="U19" i="3"/>
  <c r="A20" i="3"/>
  <c r="B20" i="3"/>
  <c r="C20" i="3"/>
  <c r="D20" i="3"/>
  <c r="E20" i="3"/>
  <c r="T20" i="3"/>
  <c r="U20" i="3"/>
  <c r="A21" i="3"/>
  <c r="B21" i="3"/>
  <c r="C21" i="3"/>
  <c r="D21" i="3"/>
  <c r="E21" i="3"/>
  <c r="T21" i="3"/>
  <c r="U21" i="3"/>
  <c r="A22" i="3"/>
  <c r="B22" i="3"/>
  <c r="C22" i="3"/>
  <c r="D22" i="3"/>
  <c r="E22" i="3"/>
  <c r="T22" i="3"/>
  <c r="U22" i="3"/>
  <c r="A23" i="3"/>
  <c r="B23" i="3"/>
  <c r="C23" i="3"/>
  <c r="D23" i="3"/>
  <c r="E23" i="3"/>
  <c r="T23" i="3"/>
  <c r="U23" i="3"/>
  <c r="A24" i="3"/>
  <c r="B24" i="3"/>
  <c r="C24" i="3"/>
  <c r="D24" i="3"/>
  <c r="E24" i="3"/>
  <c r="T24" i="3"/>
  <c r="U24" i="3"/>
  <c r="A25" i="3"/>
  <c r="B25" i="3"/>
  <c r="C25" i="3"/>
  <c r="D25" i="3"/>
  <c r="E25" i="3"/>
  <c r="T25" i="3"/>
  <c r="U25" i="3"/>
  <c r="A26" i="3"/>
  <c r="B26" i="3"/>
  <c r="C26" i="3"/>
  <c r="D26" i="3"/>
  <c r="E26" i="3"/>
  <c r="T26" i="3"/>
  <c r="U26" i="3"/>
  <c r="A27" i="3"/>
  <c r="B27" i="3"/>
  <c r="C27" i="3"/>
  <c r="D27" i="3"/>
  <c r="E27" i="3"/>
  <c r="T27" i="3"/>
  <c r="U27" i="3"/>
  <c r="A28" i="3"/>
  <c r="B28" i="3"/>
  <c r="C28" i="3"/>
  <c r="D28" i="3"/>
  <c r="E28" i="3"/>
  <c r="T28" i="3"/>
  <c r="U28" i="3"/>
  <c r="A29" i="3"/>
  <c r="B29" i="3"/>
  <c r="C29" i="3"/>
  <c r="D29" i="3"/>
  <c r="E29" i="3"/>
  <c r="T29" i="3"/>
  <c r="U29" i="3"/>
  <c r="A30" i="3"/>
  <c r="B30" i="3"/>
  <c r="C30" i="3"/>
  <c r="D30" i="3"/>
  <c r="E30" i="3"/>
  <c r="T30" i="3"/>
  <c r="U30" i="3"/>
  <c r="A31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A32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A33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A34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A35" i="3"/>
  <c r="B35" i="3"/>
  <c r="C35" i="3"/>
  <c r="D35" i="3"/>
  <c r="E35" i="3"/>
  <c r="T35" i="3"/>
  <c r="U35" i="3"/>
  <c r="A36" i="3"/>
  <c r="B36" i="3"/>
  <c r="C36" i="3"/>
  <c r="D36" i="3"/>
  <c r="E36" i="3"/>
  <c r="T36" i="3"/>
  <c r="U36" i="3"/>
  <c r="A37" i="3"/>
  <c r="B37" i="3"/>
  <c r="C37" i="3"/>
  <c r="D37" i="3"/>
  <c r="E37" i="3"/>
  <c r="T37" i="3"/>
  <c r="U37" i="3"/>
  <c r="A38" i="3"/>
  <c r="B38" i="3"/>
  <c r="C38" i="3"/>
  <c r="D38" i="3"/>
  <c r="E38" i="3"/>
  <c r="T38" i="3"/>
  <c r="U38" i="3"/>
  <c r="A39" i="3"/>
  <c r="B39" i="3"/>
  <c r="C39" i="3"/>
  <c r="D39" i="3"/>
  <c r="E39" i="3"/>
  <c r="T39" i="3"/>
  <c r="U39" i="3"/>
  <c r="A40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A42" i="3"/>
  <c r="B42" i="3"/>
  <c r="C42" i="3"/>
  <c r="D42" i="3"/>
  <c r="E42" i="3"/>
  <c r="T42" i="3"/>
  <c r="U42" i="3"/>
  <c r="A43" i="3"/>
  <c r="B43" i="3"/>
  <c r="C43" i="3"/>
  <c r="D43" i="3"/>
  <c r="E43" i="3"/>
  <c r="T43" i="3"/>
  <c r="U43" i="3"/>
  <c r="A44" i="3"/>
  <c r="B44" i="3"/>
  <c r="C44" i="3"/>
  <c r="D44" i="3"/>
  <c r="E44" i="3"/>
  <c r="T44" i="3"/>
  <c r="U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A46" i="3"/>
  <c r="B46" i="3"/>
  <c r="C46" i="3"/>
  <c r="D46" i="3"/>
  <c r="E46" i="3"/>
  <c r="T46" i="3"/>
  <c r="U46" i="3"/>
  <c r="A47" i="3"/>
  <c r="B47" i="3"/>
  <c r="C47" i="3"/>
  <c r="D47" i="3"/>
  <c r="E47" i="3"/>
  <c r="T47" i="3"/>
  <c r="U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A49" i="3"/>
  <c r="B49" i="3"/>
  <c r="C49" i="3"/>
  <c r="D49" i="3"/>
  <c r="E49" i="3"/>
  <c r="F49" i="3"/>
  <c r="H49" i="3"/>
  <c r="J49" i="3"/>
  <c r="L49" i="3"/>
  <c r="N49" i="3"/>
  <c r="P49" i="3"/>
  <c r="R49" i="3"/>
  <c r="T49" i="3"/>
  <c r="U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A51" i="3"/>
  <c r="B51" i="3"/>
  <c r="C51" i="3"/>
  <c r="D51" i="3"/>
  <c r="E51" i="3"/>
  <c r="F51" i="3"/>
  <c r="H51" i="3"/>
  <c r="J51" i="3"/>
  <c r="L51" i="3"/>
  <c r="N51" i="3"/>
  <c r="P51" i="3"/>
  <c r="R51" i="3"/>
  <c r="T51" i="3"/>
  <c r="U51" i="3"/>
  <c r="A52" i="3"/>
  <c r="B52" i="3"/>
  <c r="C52" i="3"/>
  <c r="D52" i="3"/>
  <c r="E52" i="3"/>
  <c r="F52" i="3"/>
  <c r="H52" i="3"/>
  <c r="J52" i="3"/>
  <c r="L52" i="3"/>
  <c r="N52" i="3"/>
  <c r="P52" i="3"/>
  <c r="R52" i="3"/>
  <c r="T52" i="3"/>
  <c r="U52" i="3"/>
  <c r="A53" i="3"/>
  <c r="B53" i="3"/>
  <c r="C53" i="3"/>
  <c r="D53" i="3"/>
  <c r="E53" i="3"/>
  <c r="F53" i="3"/>
  <c r="H53" i="3"/>
  <c r="J53" i="3"/>
  <c r="L53" i="3"/>
  <c r="N53" i="3"/>
  <c r="P53" i="3"/>
  <c r="R53" i="3"/>
  <c r="T53" i="3"/>
  <c r="U53" i="3"/>
  <c r="A54" i="3"/>
  <c r="B54" i="3"/>
  <c r="C54" i="3"/>
  <c r="D54" i="3"/>
  <c r="E54" i="3"/>
  <c r="F54" i="3"/>
  <c r="H54" i="3"/>
  <c r="J54" i="3"/>
  <c r="L54" i="3"/>
  <c r="N54" i="3"/>
  <c r="P54" i="3"/>
  <c r="R54" i="3"/>
  <c r="T54" i="3"/>
  <c r="U54" i="3"/>
  <c r="A55" i="3"/>
  <c r="B55" i="3"/>
  <c r="C55" i="3"/>
  <c r="D55" i="3"/>
  <c r="E55" i="3"/>
  <c r="F55" i="3"/>
  <c r="H55" i="3"/>
  <c r="J55" i="3"/>
  <c r="L55" i="3"/>
  <c r="N55" i="3"/>
  <c r="P55" i="3"/>
  <c r="R55" i="3"/>
  <c r="T55" i="3"/>
  <c r="U55" i="3"/>
  <c r="A56" i="3"/>
  <c r="B56" i="3"/>
  <c r="C56" i="3"/>
  <c r="D56" i="3"/>
  <c r="E56" i="3"/>
  <c r="F56" i="3"/>
  <c r="H56" i="3"/>
  <c r="J56" i="3"/>
  <c r="L56" i="3"/>
  <c r="N56" i="3"/>
  <c r="P56" i="3"/>
  <c r="R56" i="3"/>
  <c r="T56" i="3"/>
  <c r="U56" i="3"/>
  <c r="A57" i="3"/>
  <c r="B57" i="3"/>
  <c r="C57" i="3"/>
  <c r="D57" i="3"/>
  <c r="E57" i="3"/>
  <c r="F57" i="3"/>
  <c r="H57" i="3"/>
  <c r="J57" i="3"/>
  <c r="L57" i="3"/>
  <c r="N57" i="3"/>
  <c r="P57" i="3"/>
  <c r="R57" i="3"/>
  <c r="T57" i="3"/>
  <c r="U57" i="3"/>
  <c r="A58" i="3"/>
  <c r="B58" i="3"/>
  <c r="C58" i="3"/>
  <c r="D58" i="3"/>
  <c r="E58" i="3"/>
  <c r="F58" i="3"/>
  <c r="H58" i="3"/>
  <c r="J58" i="3"/>
  <c r="L58" i="3"/>
  <c r="N58" i="3"/>
  <c r="P58" i="3"/>
  <c r="R58" i="3"/>
  <c r="T58" i="3"/>
  <c r="U58" i="3"/>
  <c r="A59" i="3"/>
  <c r="B59" i="3"/>
  <c r="C59" i="3"/>
  <c r="D59" i="3"/>
  <c r="E59" i="3"/>
  <c r="F59" i="3"/>
  <c r="H59" i="3"/>
  <c r="J59" i="3"/>
  <c r="L59" i="3"/>
  <c r="N59" i="3"/>
  <c r="P59" i="3"/>
  <c r="R59" i="3"/>
  <c r="T59" i="3"/>
  <c r="U59" i="3"/>
  <c r="A60" i="3"/>
  <c r="B60" i="3"/>
  <c r="C60" i="3"/>
  <c r="D60" i="3"/>
  <c r="E60" i="3"/>
  <c r="F60" i="3"/>
  <c r="H60" i="3"/>
  <c r="J60" i="3"/>
  <c r="L60" i="3"/>
  <c r="N60" i="3"/>
  <c r="P60" i="3"/>
  <c r="R60" i="3"/>
  <c r="T60" i="3"/>
  <c r="U60" i="3"/>
  <c r="A61" i="3"/>
  <c r="B61" i="3"/>
  <c r="C61" i="3"/>
  <c r="D61" i="3"/>
  <c r="E61" i="3"/>
  <c r="F61" i="3"/>
  <c r="H61" i="3"/>
  <c r="J61" i="3"/>
  <c r="L61" i="3"/>
  <c r="N61" i="3"/>
  <c r="P61" i="3"/>
  <c r="R61" i="3"/>
  <c r="T61" i="3"/>
  <c r="U61" i="3"/>
  <c r="A62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A63" i="3"/>
  <c r="B63" i="3"/>
  <c r="C63" i="3"/>
  <c r="D63" i="3"/>
  <c r="E63" i="3"/>
  <c r="F63" i="3"/>
  <c r="H63" i="3"/>
  <c r="J63" i="3"/>
  <c r="L63" i="3"/>
  <c r="N63" i="3"/>
  <c r="P63" i="3"/>
  <c r="R63" i="3"/>
  <c r="T63" i="3"/>
  <c r="U63" i="3"/>
  <c r="A64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W64" i="3"/>
  <c r="A65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W65" i="3"/>
  <c r="A66" i="3"/>
  <c r="B66" i="3"/>
  <c r="C66" i="3"/>
  <c r="D66" i="3"/>
  <c r="E66" i="3"/>
  <c r="F66" i="3"/>
  <c r="H66" i="3"/>
  <c r="J66" i="3"/>
  <c r="L66" i="3"/>
  <c r="N66" i="3"/>
  <c r="P66" i="3"/>
  <c r="R66" i="3"/>
  <c r="T66" i="3"/>
  <c r="U66" i="3"/>
  <c r="A67" i="3"/>
  <c r="B67" i="3"/>
  <c r="C67" i="3"/>
  <c r="D67" i="3"/>
  <c r="E67" i="3"/>
  <c r="F67" i="3"/>
  <c r="H67" i="3"/>
  <c r="J67" i="3"/>
  <c r="L67" i="3"/>
  <c r="N67" i="3"/>
  <c r="P67" i="3"/>
  <c r="R67" i="3"/>
  <c r="T67" i="3"/>
  <c r="U67" i="3"/>
  <c r="A68" i="3"/>
  <c r="B68" i="3"/>
  <c r="C68" i="3"/>
  <c r="D68" i="3"/>
  <c r="E68" i="3"/>
  <c r="F68" i="3"/>
  <c r="H68" i="3"/>
  <c r="J68" i="3"/>
  <c r="L68" i="3"/>
  <c r="N68" i="3"/>
  <c r="P68" i="3"/>
  <c r="R68" i="3"/>
  <c r="T68" i="3"/>
  <c r="U68" i="3"/>
  <c r="A69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A70" i="3"/>
  <c r="B70" i="3"/>
  <c r="C70" i="3"/>
  <c r="D70" i="3"/>
  <c r="E70" i="3"/>
  <c r="F70" i="3"/>
  <c r="H70" i="3"/>
  <c r="I70" i="3"/>
  <c r="J70" i="3"/>
  <c r="K70" i="3"/>
  <c r="L70" i="3"/>
  <c r="N70" i="3"/>
  <c r="O70" i="3"/>
  <c r="P70" i="3"/>
  <c r="Q70" i="3"/>
  <c r="R70" i="3"/>
  <c r="T70" i="3"/>
  <c r="U70" i="3"/>
  <c r="A71" i="3"/>
  <c r="B71" i="3"/>
  <c r="C71" i="3"/>
  <c r="D71" i="3"/>
  <c r="E71" i="3"/>
  <c r="F71" i="3"/>
  <c r="H71" i="3"/>
  <c r="I71" i="3"/>
  <c r="J71" i="3"/>
  <c r="K71" i="3"/>
  <c r="L71" i="3"/>
  <c r="N71" i="3"/>
  <c r="O71" i="3"/>
  <c r="P71" i="3"/>
  <c r="Q71" i="3"/>
  <c r="R71" i="3"/>
  <c r="T71" i="3"/>
  <c r="U71" i="3"/>
  <c r="A72" i="3"/>
  <c r="B72" i="3"/>
  <c r="C72" i="3"/>
  <c r="D72" i="3"/>
  <c r="E72" i="3"/>
  <c r="F72" i="3"/>
  <c r="H72" i="3"/>
  <c r="I72" i="3"/>
  <c r="J72" i="3"/>
  <c r="K72" i="3"/>
  <c r="L72" i="3"/>
  <c r="N72" i="3"/>
  <c r="O72" i="3"/>
  <c r="P72" i="3"/>
  <c r="Q72" i="3"/>
  <c r="R72" i="3"/>
  <c r="T72" i="3"/>
  <c r="U72" i="3"/>
  <c r="A73" i="3"/>
  <c r="B73" i="3"/>
  <c r="C73" i="3"/>
  <c r="D73" i="3"/>
  <c r="E73" i="3"/>
  <c r="F73" i="3"/>
  <c r="H73" i="3"/>
  <c r="J73" i="3"/>
  <c r="L73" i="3"/>
  <c r="N73" i="3"/>
  <c r="P73" i="3"/>
  <c r="R73" i="3"/>
  <c r="T73" i="3"/>
  <c r="U73" i="3"/>
  <c r="A74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A75" i="3"/>
  <c r="B75" i="3"/>
  <c r="C75" i="3"/>
  <c r="D75" i="3"/>
  <c r="E75" i="3"/>
  <c r="F75" i="3"/>
  <c r="H75" i="3"/>
  <c r="I75" i="3"/>
  <c r="J75" i="3"/>
  <c r="L75" i="3"/>
  <c r="M75" i="3"/>
  <c r="N75" i="3"/>
  <c r="O75" i="3"/>
  <c r="P75" i="3"/>
  <c r="Q75" i="3"/>
  <c r="R75" i="3"/>
  <c r="S75" i="3"/>
  <c r="T75" i="3"/>
  <c r="U75" i="3"/>
  <c r="A76" i="3"/>
  <c r="B76" i="3"/>
  <c r="C76" i="3"/>
  <c r="D76" i="3"/>
  <c r="E76" i="3"/>
  <c r="F76" i="3"/>
  <c r="H76" i="3"/>
  <c r="I76" i="3"/>
  <c r="J76" i="3"/>
  <c r="L76" i="3"/>
  <c r="M76" i="3"/>
  <c r="N76" i="3"/>
  <c r="O76" i="3"/>
  <c r="P76" i="3"/>
  <c r="Q76" i="3"/>
  <c r="R76" i="3"/>
  <c r="S76" i="3"/>
  <c r="T76" i="3"/>
  <c r="U76" i="3"/>
  <c r="A77" i="3"/>
  <c r="B77" i="3"/>
  <c r="C77" i="3"/>
  <c r="D77" i="3"/>
  <c r="E77" i="3"/>
  <c r="F77" i="3"/>
  <c r="H77" i="3"/>
  <c r="I77" i="3"/>
  <c r="J77" i="3"/>
  <c r="L77" i="3"/>
  <c r="M77" i="3"/>
  <c r="N77" i="3"/>
  <c r="O77" i="3"/>
  <c r="P77" i="3"/>
  <c r="Q77" i="3"/>
  <c r="R77" i="3"/>
  <c r="S77" i="3"/>
  <c r="T77" i="3"/>
  <c r="U77" i="3"/>
  <c r="A78" i="3"/>
  <c r="B78" i="3"/>
  <c r="C78" i="3"/>
  <c r="D78" i="3"/>
  <c r="E78" i="3"/>
  <c r="F78" i="3"/>
  <c r="H78" i="3"/>
  <c r="I78" i="3"/>
  <c r="J78" i="3"/>
  <c r="L78" i="3"/>
  <c r="M78" i="3"/>
  <c r="N78" i="3"/>
  <c r="O78" i="3"/>
  <c r="P78" i="3"/>
  <c r="Q78" i="3"/>
  <c r="R78" i="3"/>
  <c r="S78" i="3"/>
  <c r="T78" i="3"/>
  <c r="U78" i="3"/>
  <c r="A79" i="3"/>
  <c r="B79" i="3"/>
  <c r="C79" i="3"/>
  <c r="D79" i="3"/>
  <c r="E79" i="3"/>
  <c r="F79" i="3"/>
  <c r="H79" i="3"/>
  <c r="I79" i="3"/>
  <c r="J79" i="3"/>
  <c r="L79" i="3"/>
  <c r="M79" i="3"/>
  <c r="N79" i="3"/>
  <c r="O79" i="3"/>
  <c r="P79" i="3"/>
  <c r="Q79" i="3"/>
  <c r="R79" i="3"/>
  <c r="S79" i="3"/>
  <c r="T79" i="3"/>
  <c r="U79" i="3"/>
  <c r="A80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W80" i="3"/>
  <c r="X80" i="3"/>
  <c r="Y80" i="3"/>
  <c r="Z80" i="3"/>
  <c r="A81" i="3"/>
  <c r="B81" i="3"/>
  <c r="C81" i="3"/>
  <c r="D81" i="3"/>
  <c r="E81" i="3"/>
  <c r="F81" i="3"/>
  <c r="H81" i="3"/>
  <c r="J81" i="3"/>
  <c r="L81" i="3"/>
  <c r="N81" i="3"/>
  <c r="O81" i="3"/>
  <c r="P81" i="3"/>
  <c r="R81" i="3"/>
  <c r="T81" i="3"/>
  <c r="U81" i="3"/>
  <c r="A82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A83" i="3"/>
  <c r="B83" i="3"/>
  <c r="C83" i="3"/>
  <c r="D83" i="3"/>
  <c r="E83" i="3"/>
  <c r="F83" i="3"/>
  <c r="H83" i="3"/>
  <c r="J83" i="3"/>
  <c r="L83" i="3"/>
  <c r="N83" i="3"/>
  <c r="P83" i="3"/>
  <c r="R83" i="3"/>
  <c r="T83" i="3"/>
  <c r="U83" i="3"/>
  <c r="A84" i="3"/>
  <c r="B84" i="3"/>
  <c r="C84" i="3"/>
  <c r="D84" i="3"/>
  <c r="E84" i="3"/>
  <c r="F84" i="3"/>
  <c r="H84" i="3"/>
  <c r="J84" i="3"/>
  <c r="L84" i="3"/>
  <c r="N84" i="3"/>
  <c r="P84" i="3"/>
  <c r="R84" i="3"/>
  <c r="T84" i="3"/>
  <c r="U84" i="3"/>
  <c r="A85" i="3"/>
  <c r="B85" i="3"/>
  <c r="C85" i="3"/>
  <c r="D85" i="3"/>
  <c r="E85" i="3"/>
  <c r="F85" i="3"/>
  <c r="H85" i="3"/>
  <c r="J85" i="3"/>
  <c r="L85" i="3"/>
  <c r="N85" i="3"/>
  <c r="P85" i="3"/>
  <c r="R85" i="3"/>
  <c r="T85" i="3"/>
  <c r="U85" i="3"/>
  <c r="A86" i="3"/>
  <c r="B86" i="3"/>
  <c r="C86" i="3"/>
  <c r="D86" i="3"/>
  <c r="E86" i="3"/>
  <c r="F86" i="3"/>
  <c r="H86" i="3"/>
  <c r="J86" i="3"/>
  <c r="L86" i="3"/>
  <c r="N86" i="3"/>
  <c r="P86" i="3"/>
  <c r="R86" i="3"/>
  <c r="T86" i="3"/>
  <c r="U86" i="3"/>
  <c r="A87" i="3"/>
  <c r="B87" i="3"/>
  <c r="C87" i="3"/>
  <c r="D87" i="3"/>
  <c r="E87" i="3"/>
  <c r="F87" i="3"/>
  <c r="H87" i="3"/>
  <c r="J87" i="3"/>
  <c r="L87" i="3"/>
  <c r="N87" i="3"/>
  <c r="P87" i="3"/>
  <c r="R87" i="3"/>
  <c r="T87" i="3"/>
  <c r="U87" i="3"/>
  <c r="A88" i="3"/>
  <c r="B88" i="3"/>
  <c r="C88" i="3"/>
  <c r="D88" i="3"/>
  <c r="E88" i="3"/>
  <c r="F88" i="3"/>
  <c r="H88" i="3"/>
  <c r="J88" i="3"/>
  <c r="L88" i="3"/>
  <c r="N88" i="3"/>
  <c r="P88" i="3"/>
  <c r="R88" i="3"/>
  <c r="T88" i="3"/>
  <c r="U88" i="3"/>
  <c r="A89" i="3"/>
  <c r="B89" i="3"/>
  <c r="C89" i="3"/>
  <c r="D89" i="3"/>
  <c r="E89" i="3"/>
  <c r="F89" i="3"/>
  <c r="H89" i="3"/>
  <c r="J89" i="3"/>
  <c r="L89" i="3"/>
  <c r="N89" i="3"/>
  <c r="P89" i="3"/>
  <c r="R89" i="3"/>
  <c r="T89" i="3"/>
  <c r="U89" i="3"/>
  <c r="A90" i="3"/>
  <c r="B90" i="3"/>
  <c r="C90" i="3"/>
  <c r="D90" i="3"/>
  <c r="E90" i="3"/>
  <c r="F90" i="3"/>
  <c r="H90" i="3"/>
  <c r="J90" i="3"/>
  <c r="L90" i="3"/>
  <c r="N90" i="3"/>
  <c r="P90" i="3"/>
  <c r="R90" i="3"/>
  <c r="T90" i="3"/>
  <c r="U90" i="3"/>
  <c r="A91" i="3"/>
  <c r="B91" i="3"/>
  <c r="C91" i="3"/>
  <c r="D91" i="3"/>
  <c r="E91" i="3"/>
  <c r="F91" i="3"/>
  <c r="H91" i="3"/>
  <c r="J91" i="3"/>
  <c r="L91" i="3"/>
  <c r="N91" i="3"/>
  <c r="P91" i="3"/>
  <c r="R91" i="3"/>
  <c r="T91" i="3"/>
  <c r="U91" i="3"/>
  <c r="A92" i="3"/>
  <c r="B92" i="3"/>
  <c r="C92" i="3"/>
  <c r="D92" i="3"/>
  <c r="E92" i="3"/>
  <c r="F92" i="3"/>
  <c r="H92" i="3"/>
  <c r="J92" i="3"/>
  <c r="L92" i="3"/>
  <c r="N92" i="3"/>
  <c r="P92" i="3"/>
  <c r="R92" i="3"/>
  <c r="T92" i="3"/>
  <c r="U92" i="3"/>
  <c r="A93" i="3"/>
  <c r="B93" i="3"/>
  <c r="C93" i="3"/>
  <c r="D93" i="3"/>
  <c r="E93" i="3"/>
  <c r="F93" i="3"/>
  <c r="H93" i="3"/>
  <c r="J93" i="3"/>
  <c r="L93" i="3"/>
  <c r="N93" i="3"/>
  <c r="P93" i="3"/>
  <c r="R93" i="3"/>
  <c r="T93" i="3"/>
  <c r="U93" i="3"/>
  <c r="A94" i="3"/>
  <c r="B94" i="3"/>
  <c r="C94" i="3"/>
  <c r="D94" i="3"/>
  <c r="E94" i="3"/>
  <c r="F94" i="3"/>
  <c r="H94" i="3"/>
  <c r="J94" i="3"/>
  <c r="L94" i="3"/>
  <c r="N94" i="3"/>
  <c r="P94" i="3"/>
  <c r="R94" i="3"/>
  <c r="T94" i="3"/>
  <c r="U94" i="3"/>
  <c r="A95" i="3"/>
  <c r="B95" i="3"/>
  <c r="C95" i="3"/>
  <c r="D95" i="3"/>
  <c r="E95" i="3"/>
  <c r="F95" i="3"/>
  <c r="H95" i="3"/>
  <c r="J95" i="3"/>
  <c r="L95" i="3"/>
  <c r="N95" i="3"/>
  <c r="P95" i="3"/>
  <c r="R95" i="3"/>
  <c r="T95" i="3"/>
  <c r="U95" i="3"/>
  <c r="A96" i="3"/>
  <c r="B96" i="3"/>
  <c r="C96" i="3"/>
  <c r="D96" i="3"/>
  <c r="E96" i="3"/>
  <c r="F96" i="3"/>
  <c r="H96" i="3"/>
  <c r="J96" i="3"/>
  <c r="L96" i="3"/>
  <c r="N96" i="3"/>
  <c r="P96" i="3"/>
  <c r="R96" i="3"/>
  <c r="T96" i="3"/>
  <c r="U96" i="3"/>
  <c r="A97" i="3"/>
  <c r="B97" i="3"/>
  <c r="C97" i="3"/>
  <c r="D97" i="3"/>
  <c r="E97" i="3"/>
  <c r="F97" i="3"/>
  <c r="H97" i="3"/>
  <c r="J97" i="3"/>
  <c r="L97" i="3"/>
  <c r="N97" i="3"/>
  <c r="P97" i="3"/>
  <c r="R97" i="3"/>
  <c r="T97" i="3"/>
  <c r="U97" i="3"/>
  <c r="A98" i="3"/>
  <c r="B98" i="3"/>
  <c r="C98" i="3"/>
  <c r="D98" i="3"/>
  <c r="E98" i="3"/>
  <c r="F98" i="3"/>
  <c r="H98" i="3"/>
  <c r="J98" i="3"/>
  <c r="L98" i="3"/>
  <c r="N98" i="3"/>
  <c r="P98" i="3"/>
  <c r="R98" i="3"/>
  <c r="T98" i="3"/>
  <c r="U98" i="3"/>
  <c r="A99" i="3"/>
  <c r="B99" i="3"/>
  <c r="C99" i="3"/>
  <c r="D99" i="3"/>
  <c r="E99" i="3"/>
  <c r="F99" i="3"/>
  <c r="H99" i="3"/>
  <c r="J99" i="3"/>
  <c r="L99" i="3"/>
  <c r="N99" i="3"/>
  <c r="P99" i="3"/>
  <c r="R99" i="3"/>
  <c r="T99" i="3"/>
  <c r="U99" i="3"/>
  <c r="A100" i="3"/>
  <c r="B100" i="3"/>
  <c r="C100" i="3"/>
  <c r="D100" i="3"/>
  <c r="E100" i="3"/>
  <c r="F100" i="3"/>
  <c r="H100" i="3"/>
  <c r="J100" i="3"/>
  <c r="L100" i="3"/>
  <c r="N100" i="3"/>
  <c r="P100" i="3"/>
  <c r="R100" i="3"/>
  <c r="T100" i="3"/>
  <c r="U100" i="3"/>
  <c r="A101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A102" i="3"/>
  <c r="B102" i="3"/>
  <c r="C102" i="3"/>
  <c r="D102" i="3"/>
  <c r="E102" i="3"/>
  <c r="F102" i="3"/>
  <c r="H102" i="3"/>
  <c r="I102" i="3"/>
  <c r="J102" i="3"/>
  <c r="L102" i="3"/>
  <c r="M102" i="3"/>
  <c r="N102" i="3"/>
  <c r="O102" i="3"/>
  <c r="P102" i="3"/>
  <c r="R102" i="3"/>
  <c r="T102" i="3"/>
  <c r="U102" i="3"/>
  <c r="A103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A104" i="3"/>
  <c r="B104" i="3"/>
  <c r="C104" i="3"/>
  <c r="D104" i="3"/>
  <c r="E104" i="3"/>
  <c r="F104" i="3"/>
  <c r="H104" i="3"/>
  <c r="J104" i="3"/>
  <c r="L104" i="3"/>
  <c r="N104" i="3"/>
  <c r="P104" i="3"/>
  <c r="R104" i="3"/>
  <c r="T104" i="3"/>
  <c r="U104" i="3"/>
  <c r="A105" i="3"/>
  <c r="B105" i="3"/>
  <c r="C105" i="3"/>
  <c r="D105" i="3"/>
  <c r="E105" i="3"/>
  <c r="F105" i="3"/>
  <c r="H105" i="3"/>
  <c r="J105" i="3"/>
  <c r="L105" i="3"/>
  <c r="N105" i="3"/>
  <c r="P105" i="3"/>
  <c r="R105" i="3"/>
  <c r="T105" i="3"/>
  <c r="U105" i="3"/>
  <c r="A106" i="3"/>
  <c r="B106" i="3"/>
  <c r="C106" i="3"/>
  <c r="D106" i="3"/>
  <c r="E106" i="3"/>
  <c r="F106" i="3"/>
  <c r="H106" i="3"/>
  <c r="J106" i="3"/>
  <c r="L106" i="3"/>
  <c r="N106" i="3"/>
  <c r="P106" i="3"/>
  <c r="R106" i="3"/>
  <c r="T106" i="3"/>
  <c r="U106" i="3"/>
  <c r="A107" i="3"/>
  <c r="B107" i="3"/>
  <c r="C107" i="3"/>
  <c r="D107" i="3"/>
  <c r="E107" i="3"/>
  <c r="F107" i="3"/>
  <c r="H107" i="3"/>
  <c r="J107" i="3"/>
  <c r="L107" i="3"/>
  <c r="N107" i="3"/>
  <c r="P107" i="3"/>
  <c r="R107" i="3"/>
  <c r="T107" i="3"/>
  <c r="U107" i="3"/>
  <c r="A108" i="3"/>
  <c r="B108" i="3"/>
  <c r="C108" i="3"/>
  <c r="D108" i="3"/>
  <c r="E108" i="3"/>
  <c r="F108" i="3"/>
  <c r="H108" i="3"/>
  <c r="J108" i="3"/>
  <c r="L108" i="3"/>
  <c r="N108" i="3"/>
  <c r="P108" i="3"/>
  <c r="R108" i="3"/>
  <c r="T108" i="3"/>
  <c r="U108" i="3"/>
  <c r="A109" i="3"/>
  <c r="B109" i="3"/>
  <c r="C109" i="3"/>
  <c r="D109" i="3"/>
  <c r="E109" i="3"/>
  <c r="F109" i="3"/>
  <c r="H109" i="3"/>
  <c r="J109" i="3"/>
  <c r="L109" i="3"/>
  <c r="N109" i="3"/>
  <c r="P109" i="3"/>
  <c r="R109" i="3"/>
  <c r="T109" i="3"/>
  <c r="U109" i="3"/>
  <c r="A110" i="3"/>
  <c r="B110" i="3"/>
  <c r="C110" i="3"/>
  <c r="D110" i="3"/>
  <c r="E110" i="3"/>
  <c r="F110" i="3"/>
  <c r="H110" i="3"/>
  <c r="J110" i="3"/>
  <c r="L110" i="3"/>
  <c r="N110" i="3"/>
  <c r="P110" i="3"/>
  <c r="R110" i="3"/>
  <c r="T110" i="3"/>
  <c r="U110" i="3"/>
  <c r="A111" i="3"/>
  <c r="B111" i="3"/>
  <c r="C111" i="3"/>
  <c r="D111" i="3"/>
  <c r="E111" i="3"/>
  <c r="F111" i="3"/>
  <c r="H111" i="3"/>
  <c r="J111" i="3"/>
  <c r="L111" i="3"/>
  <c r="N111" i="3"/>
  <c r="P111" i="3"/>
  <c r="R111" i="3"/>
  <c r="T111" i="3"/>
  <c r="U111" i="3"/>
  <c r="A112" i="3"/>
  <c r="B112" i="3"/>
  <c r="C112" i="3"/>
  <c r="D112" i="3"/>
  <c r="E112" i="3"/>
  <c r="F112" i="3"/>
  <c r="H112" i="3"/>
  <c r="J112" i="3"/>
  <c r="L112" i="3"/>
  <c r="N112" i="3"/>
  <c r="P112" i="3"/>
  <c r="R112" i="3"/>
  <c r="T112" i="3"/>
  <c r="U112" i="3"/>
  <c r="A113" i="3"/>
  <c r="B113" i="3"/>
  <c r="C113" i="3"/>
  <c r="D113" i="3"/>
  <c r="E113" i="3"/>
  <c r="F113" i="3"/>
  <c r="H113" i="3"/>
  <c r="J113" i="3"/>
  <c r="L113" i="3"/>
  <c r="N113" i="3"/>
  <c r="P113" i="3"/>
  <c r="R113" i="3"/>
  <c r="T113" i="3"/>
  <c r="U113" i="3"/>
  <c r="A114" i="3"/>
  <c r="B114" i="3"/>
  <c r="C114" i="3"/>
  <c r="D114" i="3"/>
  <c r="E114" i="3"/>
  <c r="F114" i="3"/>
  <c r="H114" i="3"/>
  <c r="J114" i="3"/>
  <c r="L114" i="3"/>
  <c r="N114" i="3"/>
  <c r="P114" i="3"/>
  <c r="R114" i="3"/>
  <c r="T114" i="3"/>
  <c r="U114" i="3"/>
  <c r="A115" i="3"/>
  <c r="B115" i="3"/>
  <c r="C115" i="3"/>
  <c r="D115" i="3"/>
  <c r="E115" i="3"/>
  <c r="F115" i="3"/>
  <c r="H115" i="3"/>
  <c r="J115" i="3"/>
  <c r="L115" i="3"/>
  <c r="N115" i="3"/>
  <c r="P115" i="3"/>
  <c r="R115" i="3"/>
  <c r="T115" i="3"/>
  <c r="U115" i="3"/>
  <c r="A116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A117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A118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A119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A120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A121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A122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X122" i="3"/>
  <c r="Z122" i="3"/>
  <c r="A123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Z123" i="3"/>
  <c r="B4" i="3"/>
  <c r="C4" i="3"/>
  <c r="D4" i="3"/>
  <c r="E4" i="3"/>
  <c r="T4" i="3"/>
  <c r="U4" i="3"/>
  <c r="A4" i="3"/>
  <c r="AB33" i="3" l="1"/>
  <c r="AF41" i="3"/>
  <c r="AG75" i="3"/>
  <c r="AH75" i="3"/>
  <c r="AC75" i="3"/>
  <c r="AE75" i="3"/>
  <c r="AF75" i="3"/>
  <c r="AH31" i="3"/>
  <c r="AB31" i="3"/>
  <c r="AC31" i="3"/>
  <c r="AD31" i="3"/>
  <c r="AE31" i="3"/>
  <c r="AF31" i="3"/>
  <c r="AG31" i="3"/>
  <c r="AE69" i="3"/>
  <c r="AH69" i="3"/>
  <c r="AC69" i="3"/>
  <c r="AF69" i="3"/>
  <c r="AB69" i="3"/>
  <c r="AG69" i="3"/>
  <c r="AD69" i="3"/>
  <c r="AF81" i="3"/>
  <c r="AC12" i="3"/>
  <c r="AD12" i="3"/>
  <c r="AF12" i="3"/>
  <c r="AG12" i="3"/>
  <c r="AB12" i="3"/>
  <c r="AE12" i="3"/>
  <c r="AH12" i="3"/>
  <c r="AC50" i="3"/>
  <c r="AD50" i="3"/>
  <c r="AF50" i="3"/>
  <c r="AG50" i="3"/>
  <c r="AB50" i="3"/>
  <c r="AE50" i="3"/>
  <c r="AH50" i="3"/>
  <c r="AB103" i="3"/>
  <c r="AD103" i="3"/>
  <c r="AE103" i="3"/>
  <c r="AG103" i="3"/>
  <c r="AH103" i="3"/>
  <c r="AC103" i="3"/>
  <c r="AF103" i="3"/>
  <c r="AC79" i="3"/>
  <c r="AF79" i="3"/>
  <c r="AG79" i="3"/>
  <c r="AE79" i="3"/>
  <c r="AH79" i="3"/>
  <c r="AB80" i="3"/>
  <c r="AC80" i="3"/>
  <c r="AD80" i="3"/>
  <c r="AF80" i="3"/>
  <c r="AG80" i="3"/>
  <c r="AE80" i="3"/>
  <c r="AC102" i="3"/>
  <c r="AE102" i="3"/>
  <c r="AF102" i="3"/>
  <c r="AC78" i="3"/>
  <c r="AF78" i="3"/>
  <c r="AG78" i="3"/>
  <c r="AH78" i="3"/>
  <c r="AE78" i="3"/>
  <c r="AC72" i="3"/>
  <c r="AF72" i="3"/>
  <c r="AD72" i="3"/>
  <c r="AG72" i="3"/>
  <c r="AC48" i="3"/>
  <c r="AD48" i="3"/>
  <c r="AF48" i="3"/>
  <c r="AG48" i="3"/>
  <c r="AB48" i="3"/>
  <c r="AE48" i="3"/>
  <c r="AH48" i="3"/>
  <c r="AC62" i="3"/>
  <c r="AE62" i="3"/>
  <c r="AF62" i="3"/>
  <c r="AH62" i="3"/>
  <c r="AB62" i="3"/>
  <c r="AD62" i="3"/>
  <c r="AG62" i="3"/>
  <c r="AG77" i="3"/>
  <c r="AH77" i="3"/>
  <c r="AC77" i="3"/>
  <c r="AE77" i="3"/>
  <c r="AF77" i="3"/>
  <c r="AC71" i="3"/>
  <c r="AD71" i="3"/>
  <c r="AF71" i="3"/>
  <c r="AG71" i="3"/>
  <c r="AE65" i="3"/>
  <c r="AB65" i="3"/>
  <c r="AH65" i="3"/>
  <c r="AC65" i="3"/>
  <c r="AD65" i="3"/>
  <c r="AF65" i="3"/>
  <c r="AG65" i="3"/>
  <c r="AD74" i="3"/>
  <c r="AE74" i="3"/>
  <c r="AG74" i="3"/>
  <c r="AB74" i="3"/>
  <c r="AH74" i="3"/>
  <c r="AC74" i="3"/>
  <c r="AF74" i="3"/>
  <c r="AB101" i="3"/>
  <c r="AC101" i="3"/>
  <c r="AE101" i="3"/>
  <c r="AF101" i="3"/>
  <c r="AH101" i="3"/>
  <c r="AD101" i="3"/>
  <c r="AG101" i="3"/>
  <c r="AF45" i="3"/>
  <c r="AG45" i="3"/>
  <c r="AC45" i="3"/>
  <c r="AD45" i="3"/>
  <c r="AE45" i="3"/>
  <c r="AH45" i="3"/>
  <c r="AB45" i="3"/>
  <c r="AJ45" i="3" s="1"/>
  <c r="AB82" i="3"/>
  <c r="AD82" i="3"/>
  <c r="AE82" i="3"/>
  <c r="AG82" i="3"/>
  <c r="AH82" i="3"/>
  <c r="AC82" i="3"/>
  <c r="AF82" i="3"/>
  <c r="AE76" i="3"/>
  <c r="AG76" i="3"/>
  <c r="AH76" i="3"/>
  <c r="AC76" i="3"/>
  <c r="AF76" i="3"/>
  <c r="AC70" i="3"/>
  <c r="AF70" i="3"/>
  <c r="AD70" i="3"/>
  <c r="AG70" i="3"/>
  <c r="AB64" i="3"/>
  <c r="AC64" i="3"/>
  <c r="AE64" i="3"/>
  <c r="AF64" i="3"/>
  <c r="AH64" i="3"/>
  <c r="AG64" i="3"/>
  <c r="AD64" i="3"/>
  <c r="AC40" i="3"/>
  <c r="AC32" i="3"/>
  <c r="AE32" i="3"/>
  <c r="AB32" i="3"/>
  <c r="AF32" i="3"/>
  <c r="AH32" i="3"/>
  <c r="AG33" i="3"/>
  <c r="AF40" i="3"/>
  <c r="AG32" i="3"/>
  <c r="AD32" i="3"/>
  <c r="AG41" i="3"/>
  <c r="AB41" i="3"/>
  <c r="AH41" i="3"/>
  <c r="AC41" i="3"/>
  <c r="AD41" i="3"/>
  <c r="AE41" i="3"/>
  <c r="AC11" i="3"/>
  <c r="AB11" i="3"/>
  <c r="AD11" i="3"/>
  <c r="AE11" i="3"/>
  <c r="AF11" i="3"/>
  <c r="AG11" i="3"/>
  <c r="AB40" i="3"/>
  <c r="AD40" i="3"/>
  <c r="AE40" i="3"/>
  <c r="AG40" i="3"/>
  <c r="AH40" i="3"/>
  <c r="AC34" i="3"/>
  <c r="AE34" i="3"/>
  <c r="AF34" i="3"/>
  <c r="AB34" i="3"/>
  <c r="AH34" i="3"/>
  <c r="AH11" i="3"/>
  <c r="AH33" i="3"/>
  <c r="AC33" i="3"/>
  <c r="AD33" i="3"/>
  <c r="AE33" i="3"/>
  <c r="AF33" i="3"/>
  <c r="AG34" i="3"/>
  <c r="AD34" i="3"/>
  <c r="AJ101" i="3" l="1"/>
  <c r="AJ41" i="3"/>
  <c r="AJ74" i="3"/>
  <c r="AJ32" i="3"/>
  <c r="AJ31" i="3"/>
  <c r="AJ50" i="3"/>
  <c r="AJ33" i="3"/>
  <c r="AJ12" i="3"/>
  <c r="AJ48" i="3"/>
  <c r="AJ80" i="3"/>
  <c r="AL80" i="3" s="1"/>
  <c r="AJ11" i="3"/>
  <c r="AJ62" i="3"/>
  <c r="AJ34" i="3"/>
  <c r="AJ65" i="3"/>
  <c r="AJ103" i="3"/>
  <c r="AJ69" i="3"/>
  <c r="AJ82" i="3"/>
  <c r="AJ40" i="3"/>
  <c r="AJ64" i="3"/>
  <c r="V139" i="1"/>
  <c r="V115" i="3" s="1"/>
  <c r="V138" i="1"/>
  <c r="V114" i="3" s="1"/>
  <c r="V137" i="1"/>
  <c r="V113" i="3" s="1"/>
  <c r="V136" i="1"/>
  <c r="V112" i="3" s="1"/>
  <c r="V135" i="1"/>
  <c r="V111" i="3" s="1"/>
  <c r="V134" i="1"/>
  <c r="V110" i="3" s="1"/>
  <c r="V133" i="1"/>
  <c r="V109" i="3" s="1"/>
  <c r="V132" i="1"/>
  <c r="V108" i="3" s="1"/>
  <c r="V131" i="1"/>
  <c r="V107" i="3" s="1"/>
  <c r="V130" i="1"/>
  <c r="V106" i="3" s="1"/>
  <c r="V129" i="1"/>
  <c r="V105" i="3" s="1"/>
  <c r="V128" i="1"/>
  <c r="V104" i="3" s="1"/>
  <c r="V127" i="1"/>
  <c r="V103" i="3" s="1"/>
  <c r="V126" i="1"/>
  <c r="V102" i="3" s="1"/>
  <c r="V125" i="1"/>
  <c r="V101" i="3" s="1"/>
  <c r="V124" i="1"/>
  <c r="V100" i="3" s="1"/>
  <c r="V123" i="1"/>
  <c r="V99" i="3" s="1"/>
  <c r="V122" i="1"/>
  <c r="V98" i="3" s="1"/>
  <c r="V121" i="1"/>
  <c r="V97" i="3" s="1"/>
  <c r="V120" i="1"/>
  <c r="V96" i="3" s="1"/>
  <c r="V119" i="1"/>
  <c r="V95" i="3" s="1"/>
  <c r="V118" i="1"/>
  <c r="V94" i="3" s="1"/>
  <c r="V117" i="1"/>
  <c r="V93" i="3" s="1"/>
  <c r="V116" i="1"/>
  <c r="V92" i="3" s="1"/>
  <c r="V115" i="1"/>
  <c r="V91" i="3" s="1"/>
  <c r="V114" i="1"/>
  <c r="V90" i="3" s="1"/>
  <c r="V113" i="1"/>
  <c r="V89" i="3" s="1"/>
  <c r="V112" i="1"/>
  <c r="V88" i="3" s="1"/>
  <c r="V111" i="1"/>
  <c r="V87" i="3" s="1"/>
  <c r="V110" i="1"/>
  <c r="V86" i="3" s="1"/>
  <c r="V109" i="1"/>
  <c r="V85" i="3" s="1"/>
  <c r="V108" i="1"/>
  <c r="V84" i="3" s="1"/>
  <c r="V107" i="1"/>
  <c r="V83" i="3" s="1"/>
  <c r="V106" i="1"/>
  <c r="V82" i="3" s="1"/>
  <c r="V105" i="1"/>
  <c r="V81" i="3" s="1"/>
  <c r="V104" i="1"/>
  <c r="V80" i="3" s="1"/>
  <c r="V103" i="1"/>
  <c r="V79" i="3" s="1"/>
  <c r="V102" i="1"/>
  <c r="V78" i="3" s="1"/>
  <c r="V101" i="1"/>
  <c r="V77" i="3" s="1"/>
  <c r="V100" i="1"/>
  <c r="V76" i="3" s="1"/>
  <c r="V99" i="1"/>
  <c r="V75" i="3" s="1"/>
  <c r="V98" i="1"/>
  <c r="V74" i="3" s="1"/>
  <c r="V97" i="1"/>
  <c r="V73" i="3" s="1"/>
  <c r="V96" i="1"/>
  <c r="V72" i="3" s="1"/>
  <c r="V95" i="1"/>
  <c r="V71" i="3" s="1"/>
  <c r="V94" i="1"/>
  <c r="V70" i="3" s="1"/>
  <c r="V93" i="1"/>
  <c r="V69" i="3" s="1"/>
  <c r="V92" i="1"/>
  <c r="V68" i="3" s="1"/>
  <c r="V91" i="1"/>
  <c r="V67" i="3" s="1"/>
  <c r="V90" i="1"/>
  <c r="V66" i="3" s="1"/>
  <c r="V89" i="1"/>
  <c r="V65" i="3" s="1"/>
  <c r="V88" i="1"/>
  <c r="V64" i="3" s="1"/>
  <c r="V87" i="1"/>
  <c r="V63" i="3" s="1"/>
  <c r="V86" i="1"/>
  <c r="V62" i="3" s="1"/>
  <c r="V85" i="1"/>
  <c r="V61" i="3" s="1"/>
  <c r="V84" i="1"/>
  <c r="V60" i="3" s="1"/>
  <c r="V83" i="1"/>
  <c r="V59" i="3" s="1"/>
  <c r="V82" i="1"/>
  <c r="V58" i="3" s="1"/>
  <c r="V81" i="1"/>
  <c r="V57" i="3" s="1"/>
  <c r="V80" i="1"/>
  <c r="V56" i="3" s="1"/>
  <c r="V79" i="1"/>
  <c r="V55" i="3" s="1"/>
  <c r="V78" i="1"/>
  <c r="V54" i="3" s="1"/>
  <c r="V77" i="1"/>
  <c r="V53" i="3" s="1"/>
  <c r="V76" i="1"/>
  <c r="V52" i="3" s="1"/>
  <c r="V75" i="1"/>
  <c r="V51" i="3" s="1"/>
  <c r="V74" i="1"/>
  <c r="V50" i="3" s="1"/>
  <c r="V73" i="1"/>
  <c r="V49" i="3" s="1"/>
  <c r="V72" i="1"/>
  <c r="V48" i="3" s="1"/>
  <c r="V69" i="1"/>
  <c r="V45" i="3" s="1"/>
  <c r="V65" i="1"/>
  <c r="V41" i="3" s="1"/>
  <c r="V64" i="1"/>
  <c r="V40" i="3" s="1"/>
  <c r="V58" i="1"/>
  <c r="V34" i="3" s="1"/>
  <c r="V57" i="1"/>
  <c r="V33" i="3" s="1"/>
  <c r="V56" i="1"/>
  <c r="V32" i="3" s="1"/>
  <c r="V55" i="1"/>
  <c r="V31" i="3" s="1"/>
  <c r="V36" i="1"/>
  <c r="V12" i="3" s="1"/>
  <c r="V35" i="1"/>
  <c r="V11" i="3" s="1"/>
  <c r="V2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7" i="1"/>
  <c r="U25" i="1" l="1"/>
  <c r="T25" i="1"/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X125" i="1"/>
  <c r="X101" i="3" s="1"/>
  <c r="X127" i="1"/>
  <c r="X103" i="3" s="1"/>
  <c r="X140" i="1"/>
  <c r="X116" i="3" s="1"/>
  <c r="X141" i="1"/>
  <c r="X117" i="3" s="1"/>
  <c r="X142" i="1"/>
  <c r="X118" i="3" s="1"/>
  <c r="X143" i="1"/>
  <c r="X119" i="3" s="1"/>
  <c r="X144" i="1"/>
  <c r="X120" i="3" s="1"/>
  <c r="X145" i="1"/>
  <c r="X121" i="3" s="1"/>
  <c r="X106" i="1"/>
  <c r="X82" i="3" s="1"/>
  <c r="O130" i="1"/>
  <c r="O106" i="3" s="1"/>
  <c r="AF106" i="3" s="1"/>
  <c r="O131" i="1"/>
  <c r="O107" i="3" s="1"/>
  <c r="AF107" i="3" s="1"/>
  <c r="O132" i="1"/>
  <c r="O108" i="3" s="1"/>
  <c r="AF108" i="3" s="1"/>
  <c r="O133" i="1"/>
  <c r="O109" i="3" s="1"/>
  <c r="AF109" i="3" s="1"/>
  <c r="O134" i="1"/>
  <c r="O110" i="3" s="1"/>
  <c r="AF110" i="3" s="1"/>
  <c r="O135" i="1"/>
  <c r="O111" i="3" s="1"/>
  <c r="AF111" i="3" s="1"/>
  <c r="O136" i="1"/>
  <c r="O112" i="3" s="1"/>
  <c r="AF112" i="3" s="1"/>
  <c r="O137" i="1"/>
  <c r="O113" i="3" s="1"/>
  <c r="AF113" i="3" s="1"/>
  <c r="O138" i="1"/>
  <c r="O114" i="3" s="1"/>
  <c r="AF114" i="3" s="1"/>
  <c r="O139" i="1"/>
  <c r="O115" i="3" s="1"/>
  <c r="AF115" i="3" s="1"/>
  <c r="O129" i="1"/>
  <c r="O105" i="3" s="1"/>
  <c r="AF105" i="3" s="1"/>
  <c r="O128" i="1"/>
  <c r="O104" i="3" s="1"/>
  <c r="AF104" i="3" s="1"/>
  <c r="O108" i="1"/>
  <c r="O84" i="3" s="1"/>
  <c r="AF84" i="3" s="1"/>
  <c r="O109" i="1"/>
  <c r="O85" i="3" s="1"/>
  <c r="AF85" i="3" s="1"/>
  <c r="O110" i="1"/>
  <c r="O86" i="3" s="1"/>
  <c r="AF86" i="3" s="1"/>
  <c r="O111" i="1"/>
  <c r="O87" i="3" s="1"/>
  <c r="AF87" i="3" s="1"/>
  <c r="O112" i="1"/>
  <c r="O88" i="3" s="1"/>
  <c r="AF88" i="3" s="1"/>
  <c r="O113" i="1"/>
  <c r="O89" i="3" s="1"/>
  <c r="AF89" i="3" s="1"/>
  <c r="O114" i="1"/>
  <c r="O90" i="3" s="1"/>
  <c r="AF90" i="3" s="1"/>
  <c r="O115" i="1"/>
  <c r="O91" i="3" s="1"/>
  <c r="AF91" i="3" s="1"/>
  <c r="O116" i="1"/>
  <c r="O92" i="3" s="1"/>
  <c r="AF92" i="3" s="1"/>
  <c r="O117" i="1"/>
  <c r="O93" i="3" s="1"/>
  <c r="AF93" i="3" s="1"/>
  <c r="O118" i="1"/>
  <c r="O94" i="3" s="1"/>
  <c r="AF94" i="3" s="1"/>
  <c r="O119" i="1"/>
  <c r="O95" i="3" s="1"/>
  <c r="AF95" i="3" s="1"/>
  <c r="O120" i="1"/>
  <c r="O96" i="3" s="1"/>
  <c r="AF96" i="3" s="1"/>
  <c r="O121" i="1"/>
  <c r="O97" i="3" s="1"/>
  <c r="AF97" i="3" s="1"/>
  <c r="O122" i="1"/>
  <c r="O98" i="3" s="1"/>
  <c r="AF98" i="3" s="1"/>
  <c r="O123" i="1"/>
  <c r="O99" i="3" s="1"/>
  <c r="AF99" i="3" s="1"/>
  <c r="O124" i="1"/>
  <c r="O100" i="3" s="1"/>
  <c r="AF100" i="3" s="1"/>
  <c r="O107" i="1"/>
  <c r="O83" i="3" s="1"/>
  <c r="AF83" i="3" s="1"/>
  <c r="O97" i="1"/>
  <c r="O73" i="3" s="1"/>
  <c r="AF73" i="3" s="1"/>
  <c r="O91" i="1"/>
  <c r="O67" i="3" s="1"/>
  <c r="AF67" i="3" s="1"/>
  <c r="O92" i="1"/>
  <c r="O68" i="3" s="1"/>
  <c r="AF68" i="3" s="1"/>
  <c r="O90" i="1"/>
  <c r="O66" i="3" s="1"/>
  <c r="AF66" i="3" s="1"/>
  <c r="O87" i="1"/>
  <c r="O63" i="3" s="1"/>
  <c r="AF63" i="3" s="1"/>
  <c r="O76" i="1"/>
  <c r="O52" i="3" s="1"/>
  <c r="AF52" i="3" s="1"/>
  <c r="O77" i="1"/>
  <c r="O53" i="3" s="1"/>
  <c r="AF53" i="3" s="1"/>
  <c r="O78" i="1"/>
  <c r="O54" i="3" s="1"/>
  <c r="AF54" i="3" s="1"/>
  <c r="O79" i="1"/>
  <c r="O55" i="3" s="1"/>
  <c r="AF55" i="3" s="1"/>
  <c r="O80" i="1"/>
  <c r="O56" i="3" s="1"/>
  <c r="AF56" i="3" s="1"/>
  <c r="O81" i="1"/>
  <c r="O57" i="3" s="1"/>
  <c r="AF57" i="3" s="1"/>
  <c r="O82" i="1"/>
  <c r="O58" i="3" s="1"/>
  <c r="AF58" i="3" s="1"/>
  <c r="O83" i="1"/>
  <c r="O59" i="3" s="1"/>
  <c r="AF59" i="3" s="1"/>
  <c r="O84" i="1"/>
  <c r="O60" i="3" s="1"/>
  <c r="AF60" i="3" s="1"/>
  <c r="O85" i="1"/>
  <c r="O61" i="3" s="1"/>
  <c r="AF61" i="3" s="1"/>
  <c r="O75" i="1"/>
  <c r="O51" i="3" s="1"/>
  <c r="AF51" i="3" s="1"/>
  <c r="O73" i="1"/>
  <c r="O49" i="3" s="1"/>
  <c r="AF49" i="3" s="1"/>
  <c r="I130" i="1" l="1"/>
  <c r="I106" i="3" s="1"/>
  <c r="AC106" i="3" s="1"/>
  <c r="I131" i="1"/>
  <c r="I107" i="3" s="1"/>
  <c r="AC107" i="3" s="1"/>
  <c r="I132" i="1"/>
  <c r="I108" i="3" s="1"/>
  <c r="AC108" i="3" s="1"/>
  <c r="I133" i="1"/>
  <c r="I109" i="3" s="1"/>
  <c r="AC109" i="3" s="1"/>
  <c r="I134" i="1"/>
  <c r="I110" i="3" s="1"/>
  <c r="AC110" i="3" s="1"/>
  <c r="I135" i="1"/>
  <c r="I111" i="3" s="1"/>
  <c r="AC111" i="3" s="1"/>
  <c r="I136" i="1"/>
  <c r="I112" i="3" s="1"/>
  <c r="AC112" i="3" s="1"/>
  <c r="I137" i="1"/>
  <c r="I113" i="3" s="1"/>
  <c r="AC113" i="3" s="1"/>
  <c r="I138" i="1"/>
  <c r="I114" i="3" s="1"/>
  <c r="AC114" i="3" s="1"/>
  <c r="I139" i="1"/>
  <c r="I115" i="3" s="1"/>
  <c r="AC115" i="3" s="1"/>
  <c r="I129" i="1"/>
  <c r="I105" i="3" s="1"/>
  <c r="AC105" i="3" s="1"/>
  <c r="I128" i="1"/>
  <c r="I104" i="3" s="1"/>
  <c r="AC104" i="3" s="1"/>
  <c r="I108" i="1"/>
  <c r="I84" i="3" s="1"/>
  <c r="AC84" i="3" s="1"/>
  <c r="I109" i="1"/>
  <c r="I85" i="3" s="1"/>
  <c r="AC85" i="3" s="1"/>
  <c r="I110" i="1"/>
  <c r="I86" i="3" s="1"/>
  <c r="AC86" i="3" s="1"/>
  <c r="I111" i="1"/>
  <c r="I87" i="3" s="1"/>
  <c r="AC87" i="3" s="1"/>
  <c r="I112" i="1"/>
  <c r="I88" i="3" s="1"/>
  <c r="AC88" i="3" s="1"/>
  <c r="I113" i="1"/>
  <c r="I89" i="3" s="1"/>
  <c r="AC89" i="3" s="1"/>
  <c r="I114" i="1"/>
  <c r="I90" i="3" s="1"/>
  <c r="AC90" i="3" s="1"/>
  <c r="I115" i="1"/>
  <c r="I91" i="3" s="1"/>
  <c r="AC91" i="3" s="1"/>
  <c r="I116" i="1"/>
  <c r="I92" i="3" s="1"/>
  <c r="AC92" i="3" s="1"/>
  <c r="I117" i="1"/>
  <c r="I93" i="3" s="1"/>
  <c r="AC93" i="3" s="1"/>
  <c r="I118" i="1"/>
  <c r="I94" i="3" s="1"/>
  <c r="AC94" i="3" s="1"/>
  <c r="I119" i="1"/>
  <c r="I95" i="3" s="1"/>
  <c r="AC95" i="3" s="1"/>
  <c r="I120" i="1"/>
  <c r="I96" i="3" s="1"/>
  <c r="AC96" i="3" s="1"/>
  <c r="I121" i="1"/>
  <c r="I97" i="3" s="1"/>
  <c r="AC97" i="3" s="1"/>
  <c r="I122" i="1"/>
  <c r="I98" i="3" s="1"/>
  <c r="AC98" i="3" s="1"/>
  <c r="I123" i="1"/>
  <c r="I99" i="3" s="1"/>
  <c r="AC99" i="3" s="1"/>
  <c r="I124" i="1"/>
  <c r="I100" i="3" s="1"/>
  <c r="AC100" i="3" s="1"/>
  <c r="I107" i="1"/>
  <c r="I83" i="3" s="1"/>
  <c r="AC83" i="3" s="1"/>
  <c r="I105" i="1"/>
  <c r="I81" i="3" s="1"/>
  <c r="AC81" i="3" s="1"/>
  <c r="I97" i="1"/>
  <c r="I73" i="3" s="1"/>
  <c r="AC73" i="3" s="1"/>
  <c r="I91" i="1"/>
  <c r="I67" i="3" s="1"/>
  <c r="AC67" i="3" s="1"/>
  <c r="I92" i="1"/>
  <c r="I68" i="3" s="1"/>
  <c r="AC68" i="3" s="1"/>
  <c r="I90" i="1"/>
  <c r="I66" i="3" s="1"/>
  <c r="AC66" i="3" s="1"/>
  <c r="I87" i="1"/>
  <c r="I63" i="3" s="1"/>
  <c r="AC63" i="3" s="1"/>
  <c r="I76" i="1"/>
  <c r="I52" i="3" s="1"/>
  <c r="AC52" i="3" s="1"/>
  <c r="I77" i="1"/>
  <c r="I53" i="3" s="1"/>
  <c r="AC53" i="3" s="1"/>
  <c r="I78" i="1"/>
  <c r="I54" i="3" s="1"/>
  <c r="AC54" i="3" s="1"/>
  <c r="I79" i="1"/>
  <c r="I55" i="3" s="1"/>
  <c r="AC55" i="3" s="1"/>
  <c r="I80" i="1"/>
  <c r="I56" i="3" s="1"/>
  <c r="AC56" i="3" s="1"/>
  <c r="I81" i="1"/>
  <c r="I57" i="3" s="1"/>
  <c r="AC57" i="3" s="1"/>
  <c r="I82" i="1"/>
  <c r="I58" i="3" s="1"/>
  <c r="AC58" i="3" s="1"/>
  <c r="I83" i="1"/>
  <c r="I59" i="3" s="1"/>
  <c r="AC59" i="3" s="1"/>
  <c r="I84" i="1"/>
  <c r="I60" i="3" s="1"/>
  <c r="AC60" i="3" s="1"/>
  <c r="I85" i="1"/>
  <c r="I61" i="3" s="1"/>
  <c r="AC61" i="3" s="1"/>
  <c r="I75" i="1"/>
  <c r="I51" i="3" s="1"/>
  <c r="AC51" i="3" s="1"/>
  <c r="I73" i="1"/>
  <c r="I49" i="3" s="1"/>
  <c r="AC49" i="3" s="1"/>
  <c r="X74" i="1"/>
  <c r="X50" i="3" s="1"/>
  <c r="Y74" i="1"/>
  <c r="X86" i="1"/>
  <c r="X62" i="3" s="1"/>
  <c r="X88" i="1"/>
  <c r="X89" i="1"/>
  <c r="X65" i="3" s="1"/>
  <c r="X93" i="1"/>
  <c r="X98" i="1"/>
  <c r="X74" i="3" s="1"/>
  <c r="Y98" i="1" l="1"/>
  <c r="Y88" i="1"/>
  <c r="X64" i="3"/>
  <c r="AK50" i="3"/>
  <c r="AL50" i="3" s="1"/>
  <c r="Y50" i="3"/>
  <c r="Y93" i="1"/>
  <c r="X69" i="3"/>
  <c r="Y86" i="1"/>
  <c r="AK74" i="3"/>
  <c r="AL74" i="3" s="1"/>
  <c r="Y74" i="3"/>
  <c r="Y89" i="1"/>
  <c r="Q130" i="1"/>
  <c r="Q106" i="3" s="1"/>
  <c r="AG106" i="3" s="1"/>
  <c r="Q131" i="1"/>
  <c r="Q107" i="3" s="1"/>
  <c r="AG107" i="3" s="1"/>
  <c r="Q132" i="1"/>
  <c r="Q108" i="3" s="1"/>
  <c r="AG108" i="3" s="1"/>
  <c r="Q133" i="1"/>
  <c r="Q109" i="3" s="1"/>
  <c r="AG109" i="3" s="1"/>
  <c r="Q134" i="1"/>
  <c r="Q110" i="3" s="1"/>
  <c r="AG110" i="3" s="1"/>
  <c r="Q135" i="1"/>
  <c r="Q111" i="3" s="1"/>
  <c r="AG111" i="3" s="1"/>
  <c r="Q136" i="1"/>
  <c r="Q112" i="3" s="1"/>
  <c r="AG112" i="3" s="1"/>
  <c r="Q137" i="1"/>
  <c r="Q113" i="3" s="1"/>
  <c r="AG113" i="3" s="1"/>
  <c r="Q138" i="1"/>
  <c r="Q114" i="3" s="1"/>
  <c r="AG114" i="3" s="1"/>
  <c r="Q139" i="1"/>
  <c r="Q115" i="3" s="1"/>
  <c r="AG115" i="3" s="1"/>
  <c r="Q129" i="1"/>
  <c r="Q105" i="3" s="1"/>
  <c r="AG105" i="3" s="1"/>
  <c r="Q128" i="1"/>
  <c r="Q104" i="3" s="1"/>
  <c r="AG104" i="3" s="1"/>
  <c r="Q126" i="1"/>
  <c r="Q102" i="3" s="1"/>
  <c r="AG102" i="3" s="1"/>
  <c r="Q108" i="1"/>
  <c r="Q84" i="3" s="1"/>
  <c r="AG84" i="3" s="1"/>
  <c r="Q109" i="1"/>
  <c r="Q85" i="3" s="1"/>
  <c r="AG85" i="3" s="1"/>
  <c r="Q110" i="1"/>
  <c r="Q86" i="3" s="1"/>
  <c r="AG86" i="3" s="1"/>
  <c r="Q111" i="1"/>
  <c r="Q87" i="3" s="1"/>
  <c r="AG87" i="3" s="1"/>
  <c r="Q112" i="1"/>
  <c r="Q88" i="3" s="1"/>
  <c r="AG88" i="3" s="1"/>
  <c r="Q113" i="1"/>
  <c r="Q89" i="3" s="1"/>
  <c r="AG89" i="3" s="1"/>
  <c r="Q114" i="1"/>
  <c r="Q90" i="3" s="1"/>
  <c r="AG90" i="3" s="1"/>
  <c r="Q115" i="1"/>
  <c r="Q91" i="3" s="1"/>
  <c r="AG91" i="3" s="1"/>
  <c r="Q116" i="1"/>
  <c r="Q92" i="3" s="1"/>
  <c r="AG92" i="3" s="1"/>
  <c r="Q117" i="1"/>
  <c r="Q93" i="3" s="1"/>
  <c r="AG93" i="3" s="1"/>
  <c r="Q118" i="1"/>
  <c r="Q94" i="3" s="1"/>
  <c r="AG94" i="3" s="1"/>
  <c r="Q119" i="1"/>
  <c r="Q95" i="3" s="1"/>
  <c r="AG95" i="3" s="1"/>
  <c r="Q120" i="1"/>
  <c r="Q96" i="3" s="1"/>
  <c r="AG96" i="3" s="1"/>
  <c r="Q121" i="1"/>
  <c r="Q97" i="3" s="1"/>
  <c r="AG97" i="3" s="1"/>
  <c r="Q122" i="1"/>
  <c r="Q98" i="3" s="1"/>
  <c r="AG98" i="3" s="1"/>
  <c r="Q123" i="1"/>
  <c r="Q99" i="3" s="1"/>
  <c r="AG99" i="3" s="1"/>
  <c r="Q124" i="1"/>
  <c r="Q100" i="3" s="1"/>
  <c r="AG100" i="3" s="1"/>
  <c r="Q107" i="1"/>
  <c r="Q83" i="3" s="1"/>
  <c r="AG83" i="3" s="1"/>
  <c r="Q105" i="1"/>
  <c r="Q81" i="3" s="1"/>
  <c r="AG81" i="3" s="1"/>
  <c r="Q97" i="1"/>
  <c r="Q73" i="3" s="1"/>
  <c r="AG73" i="3" s="1"/>
  <c r="Q91" i="1"/>
  <c r="Q67" i="3" s="1"/>
  <c r="AG67" i="3" s="1"/>
  <c r="Q92" i="1"/>
  <c r="Q68" i="3" s="1"/>
  <c r="AG68" i="3" s="1"/>
  <c r="Q90" i="1"/>
  <c r="Q66" i="3" s="1"/>
  <c r="AG66" i="3" s="1"/>
  <c r="Q87" i="1"/>
  <c r="Q63" i="3" s="1"/>
  <c r="AG63" i="3" s="1"/>
  <c r="Q76" i="1"/>
  <c r="Q52" i="3" s="1"/>
  <c r="AG52" i="3" s="1"/>
  <c r="Q77" i="1"/>
  <c r="Q53" i="3" s="1"/>
  <c r="AG53" i="3" s="1"/>
  <c r="Q78" i="1"/>
  <c r="Q54" i="3" s="1"/>
  <c r="AG54" i="3" s="1"/>
  <c r="Q79" i="1"/>
  <c r="Q55" i="3" s="1"/>
  <c r="AG55" i="3" s="1"/>
  <c r="Q80" i="1"/>
  <c r="Q56" i="3" s="1"/>
  <c r="AG56" i="3" s="1"/>
  <c r="Q81" i="1"/>
  <c r="Q57" i="3" s="1"/>
  <c r="AG57" i="3" s="1"/>
  <c r="Q82" i="1"/>
  <c r="Q58" i="3" s="1"/>
  <c r="AG58" i="3" s="1"/>
  <c r="Q83" i="1"/>
  <c r="Q59" i="3" s="1"/>
  <c r="AG59" i="3" s="1"/>
  <c r="Q84" i="1"/>
  <c r="Q60" i="3" s="1"/>
  <c r="AG60" i="3" s="1"/>
  <c r="Q85" i="1"/>
  <c r="Q61" i="3" s="1"/>
  <c r="AG61" i="3" s="1"/>
  <c r="Q75" i="1"/>
  <c r="Q51" i="3" s="1"/>
  <c r="AG51" i="3" s="1"/>
  <c r="Q73" i="1"/>
  <c r="Q49" i="3" s="1"/>
  <c r="AG49" i="3" s="1"/>
  <c r="Z89" i="1" l="1"/>
  <c r="Z65" i="3" s="1"/>
  <c r="AK65" i="3"/>
  <c r="AL65" i="3" s="1"/>
  <c r="Y65" i="3"/>
  <c r="AK69" i="3"/>
  <c r="AL69" i="3" s="1"/>
  <c r="Y69" i="3"/>
  <c r="AK62" i="3"/>
  <c r="AL62" i="3" s="1"/>
  <c r="Y62" i="3"/>
  <c r="Z88" i="1"/>
  <c r="Z64" i="3" s="1"/>
  <c r="AK64" i="3"/>
  <c r="AL64" i="3" s="1"/>
  <c r="Y64" i="3"/>
  <c r="M130" i="1"/>
  <c r="M106" i="3" s="1"/>
  <c r="AE106" i="3" s="1"/>
  <c r="M131" i="1"/>
  <c r="M107" i="3" s="1"/>
  <c r="AE107" i="3" s="1"/>
  <c r="M132" i="1"/>
  <c r="M108" i="3" s="1"/>
  <c r="AE108" i="3" s="1"/>
  <c r="M133" i="1"/>
  <c r="M109" i="3" s="1"/>
  <c r="AE109" i="3" s="1"/>
  <c r="M134" i="1"/>
  <c r="M110" i="3" s="1"/>
  <c r="AE110" i="3" s="1"/>
  <c r="M135" i="1"/>
  <c r="M111" i="3" s="1"/>
  <c r="AE111" i="3" s="1"/>
  <c r="M136" i="1"/>
  <c r="M112" i="3" s="1"/>
  <c r="AE112" i="3" s="1"/>
  <c r="M137" i="1"/>
  <c r="M113" i="3" s="1"/>
  <c r="AE113" i="3" s="1"/>
  <c r="M138" i="1"/>
  <c r="M114" i="3" s="1"/>
  <c r="AE114" i="3" s="1"/>
  <c r="M139" i="1"/>
  <c r="M115" i="3" s="1"/>
  <c r="AE115" i="3" s="1"/>
  <c r="M129" i="1"/>
  <c r="M105" i="3" s="1"/>
  <c r="AE105" i="3" s="1"/>
  <c r="M128" i="1"/>
  <c r="M104" i="3" s="1"/>
  <c r="AE104" i="3" s="1"/>
  <c r="M108" i="1"/>
  <c r="M84" i="3" s="1"/>
  <c r="AE84" i="3" s="1"/>
  <c r="M109" i="1"/>
  <c r="M85" i="3" s="1"/>
  <c r="AE85" i="3" s="1"/>
  <c r="M110" i="1"/>
  <c r="M86" i="3" s="1"/>
  <c r="AE86" i="3" s="1"/>
  <c r="M111" i="1"/>
  <c r="M87" i="3" s="1"/>
  <c r="AE87" i="3" s="1"/>
  <c r="M112" i="1"/>
  <c r="M88" i="3" s="1"/>
  <c r="AE88" i="3" s="1"/>
  <c r="M113" i="1"/>
  <c r="M89" i="3" s="1"/>
  <c r="AE89" i="3" s="1"/>
  <c r="M114" i="1"/>
  <c r="M90" i="3" s="1"/>
  <c r="AE90" i="3" s="1"/>
  <c r="M115" i="1"/>
  <c r="M91" i="3" s="1"/>
  <c r="AE91" i="3" s="1"/>
  <c r="M116" i="1"/>
  <c r="M92" i="3" s="1"/>
  <c r="AE92" i="3" s="1"/>
  <c r="M117" i="1"/>
  <c r="M93" i="3" s="1"/>
  <c r="AE93" i="3" s="1"/>
  <c r="M118" i="1"/>
  <c r="M94" i="3" s="1"/>
  <c r="AE94" i="3" s="1"/>
  <c r="M119" i="1"/>
  <c r="M95" i="3" s="1"/>
  <c r="AE95" i="3" s="1"/>
  <c r="M120" i="1"/>
  <c r="M96" i="3" s="1"/>
  <c r="AE96" i="3" s="1"/>
  <c r="M121" i="1"/>
  <c r="M97" i="3" s="1"/>
  <c r="AE97" i="3" s="1"/>
  <c r="M122" i="1"/>
  <c r="M98" i="3" s="1"/>
  <c r="AE98" i="3" s="1"/>
  <c r="M123" i="1"/>
  <c r="M99" i="3" s="1"/>
  <c r="AE99" i="3" s="1"/>
  <c r="M124" i="1"/>
  <c r="M100" i="3" s="1"/>
  <c r="AE100" i="3" s="1"/>
  <c r="M107" i="1"/>
  <c r="M83" i="3" s="1"/>
  <c r="AE83" i="3" s="1"/>
  <c r="M105" i="1"/>
  <c r="M81" i="3" s="1"/>
  <c r="AE81" i="3" s="1"/>
  <c r="M97" i="1"/>
  <c r="M73" i="3" s="1"/>
  <c r="AE73" i="3" s="1"/>
  <c r="M95" i="1"/>
  <c r="M71" i="3" s="1"/>
  <c r="AE71" i="3" s="1"/>
  <c r="M96" i="1"/>
  <c r="M72" i="3" s="1"/>
  <c r="AE72" i="3" s="1"/>
  <c r="M94" i="1"/>
  <c r="M70" i="3" s="1"/>
  <c r="AE70" i="3" s="1"/>
  <c r="M91" i="1"/>
  <c r="M67" i="3" s="1"/>
  <c r="AE67" i="3" s="1"/>
  <c r="M92" i="1"/>
  <c r="M68" i="3" s="1"/>
  <c r="AE68" i="3" s="1"/>
  <c r="M90" i="1"/>
  <c r="M66" i="3" s="1"/>
  <c r="AE66" i="3" s="1"/>
  <c r="M87" i="1"/>
  <c r="M63" i="3" s="1"/>
  <c r="AE63" i="3" s="1"/>
  <c r="M76" i="1"/>
  <c r="M52" i="3" s="1"/>
  <c r="AE52" i="3" s="1"/>
  <c r="M77" i="1"/>
  <c r="M53" i="3" s="1"/>
  <c r="AE53" i="3" s="1"/>
  <c r="M78" i="1"/>
  <c r="M54" i="3" s="1"/>
  <c r="AE54" i="3" s="1"/>
  <c r="M79" i="1"/>
  <c r="M55" i="3" s="1"/>
  <c r="AE55" i="3" s="1"/>
  <c r="M80" i="1"/>
  <c r="M56" i="3" s="1"/>
  <c r="AE56" i="3" s="1"/>
  <c r="M81" i="1"/>
  <c r="M57" i="3" s="1"/>
  <c r="AE57" i="3" s="1"/>
  <c r="M82" i="1"/>
  <c r="M58" i="3" s="1"/>
  <c r="AE58" i="3" s="1"/>
  <c r="M83" i="1"/>
  <c r="M59" i="3" s="1"/>
  <c r="AE59" i="3" s="1"/>
  <c r="M84" i="1"/>
  <c r="M60" i="3" s="1"/>
  <c r="AE60" i="3" s="1"/>
  <c r="M85" i="1"/>
  <c r="M61" i="3" s="1"/>
  <c r="AE61" i="3" s="1"/>
  <c r="M75" i="1"/>
  <c r="M51" i="3" s="1"/>
  <c r="AE51" i="3" s="1"/>
  <c r="M73" i="1"/>
  <c r="M49" i="3" s="1"/>
  <c r="AE49" i="3" s="1"/>
  <c r="K130" i="1" l="1"/>
  <c r="K106" i="3" s="1"/>
  <c r="AD106" i="3" s="1"/>
  <c r="K131" i="1"/>
  <c r="K107" i="3" s="1"/>
  <c r="AD107" i="3" s="1"/>
  <c r="K132" i="1"/>
  <c r="K108" i="3" s="1"/>
  <c r="AD108" i="3" s="1"/>
  <c r="K133" i="1"/>
  <c r="K109" i="3" s="1"/>
  <c r="AD109" i="3" s="1"/>
  <c r="K134" i="1"/>
  <c r="K110" i="3" s="1"/>
  <c r="AD110" i="3" s="1"/>
  <c r="K135" i="1"/>
  <c r="K111" i="3" s="1"/>
  <c r="AD111" i="3" s="1"/>
  <c r="K136" i="1"/>
  <c r="K112" i="3" s="1"/>
  <c r="AD112" i="3" s="1"/>
  <c r="K137" i="1"/>
  <c r="K113" i="3" s="1"/>
  <c r="AD113" i="3" s="1"/>
  <c r="K138" i="1"/>
  <c r="K114" i="3" s="1"/>
  <c r="AD114" i="3" s="1"/>
  <c r="K139" i="1"/>
  <c r="K115" i="3" s="1"/>
  <c r="AD115" i="3" s="1"/>
  <c r="K129" i="1"/>
  <c r="K105" i="3" s="1"/>
  <c r="AD105" i="3" s="1"/>
  <c r="K128" i="1"/>
  <c r="K104" i="3" s="1"/>
  <c r="AD104" i="3" s="1"/>
  <c r="K126" i="1"/>
  <c r="K102" i="3" s="1"/>
  <c r="AD102" i="3" s="1"/>
  <c r="K108" i="1"/>
  <c r="K84" i="3" s="1"/>
  <c r="AD84" i="3" s="1"/>
  <c r="K109" i="1"/>
  <c r="K85" i="3" s="1"/>
  <c r="AD85" i="3" s="1"/>
  <c r="K110" i="1"/>
  <c r="K86" i="3" s="1"/>
  <c r="AD86" i="3" s="1"/>
  <c r="K111" i="1"/>
  <c r="K87" i="3" s="1"/>
  <c r="AD87" i="3" s="1"/>
  <c r="K112" i="1"/>
  <c r="K88" i="3" s="1"/>
  <c r="AD88" i="3" s="1"/>
  <c r="K113" i="1"/>
  <c r="K89" i="3" s="1"/>
  <c r="AD89" i="3" s="1"/>
  <c r="K114" i="1"/>
  <c r="K90" i="3" s="1"/>
  <c r="AD90" i="3" s="1"/>
  <c r="K115" i="1"/>
  <c r="K91" i="3" s="1"/>
  <c r="AD91" i="3" s="1"/>
  <c r="K116" i="1"/>
  <c r="K92" i="3" s="1"/>
  <c r="AD92" i="3" s="1"/>
  <c r="K117" i="1"/>
  <c r="K93" i="3" s="1"/>
  <c r="AD93" i="3" s="1"/>
  <c r="K118" i="1"/>
  <c r="K94" i="3" s="1"/>
  <c r="AD94" i="3" s="1"/>
  <c r="K119" i="1"/>
  <c r="K95" i="3" s="1"/>
  <c r="AD95" i="3" s="1"/>
  <c r="K120" i="1"/>
  <c r="K96" i="3" s="1"/>
  <c r="AD96" i="3" s="1"/>
  <c r="K121" i="1"/>
  <c r="K97" i="3" s="1"/>
  <c r="AD97" i="3" s="1"/>
  <c r="K122" i="1"/>
  <c r="K98" i="3" s="1"/>
  <c r="AD98" i="3" s="1"/>
  <c r="K123" i="1"/>
  <c r="K99" i="3" s="1"/>
  <c r="AD99" i="3" s="1"/>
  <c r="K124" i="1"/>
  <c r="K100" i="3" s="1"/>
  <c r="AD100" i="3" s="1"/>
  <c r="K107" i="1"/>
  <c r="K83" i="3" s="1"/>
  <c r="AD83" i="3" s="1"/>
  <c r="K105" i="1"/>
  <c r="K81" i="3" s="1"/>
  <c r="AD81" i="3" s="1"/>
  <c r="K100" i="1"/>
  <c r="K76" i="3" s="1"/>
  <c r="AD76" i="3" s="1"/>
  <c r="K101" i="1"/>
  <c r="K77" i="3" s="1"/>
  <c r="AD77" i="3" s="1"/>
  <c r="K102" i="1"/>
  <c r="K78" i="3" s="1"/>
  <c r="AD78" i="3" s="1"/>
  <c r="K103" i="1"/>
  <c r="K79" i="3" s="1"/>
  <c r="AD79" i="3" s="1"/>
  <c r="K99" i="1"/>
  <c r="K75" i="3" s="1"/>
  <c r="AD75" i="3" s="1"/>
  <c r="K97" i="1"/>
  <c r="K73" i="3" s="1"/>
  <c r="AD73" i="3" s="1"/>
  <c r="K91" i="1"/>
  <c r="K67" i="3" s="1"/>
  <c r="AD67" i="3" s="1"/>
  <c r="K92" i="1"/>
  <c r="K68" i="3" s="1"/>
  <c r="AD68" i="3" s="1"/>
  <c r="K90" i="1"/>
  <c r="K66" i="3" s="1"/>
  <c r="AD66" i="3" s="1"/>
  <c r="K87" i="1"/>
  <c r="K63" i="3" s="1"/>
  <c r="AD63" i="3" s="1"/>
  <c r="K76" i="1"/>
  <c r="K52" i="3" s="1"/>
  <c r="AD52" i="3" s="1"/>
  <c r="K77" i="1"/>
  <c r="K53" i="3" s="1"/>
  <c r="AD53" i="3" s="1"/>
  <c r="K78" i="1"/>
  <c r="K54" i="3" s="1"/>
  <c r="AD54" i="3" s="1"/>
  <c r="K79" i="1"/>
  <c r="K55" i="3" s="1"/>
  <c r="AD55" i="3" s="1"/>
  <c r="K80" i="1"/>
  <c r="K56" i="3" s="1"/>
  <c r="AD56" i="3" s="1"/>
  <c r="K81" i="1"/>
  <c r="K57" i="3" s="1"/>
  <c r="AD57" i="3" s="1"/>
  <c r="K82" i="1"/>
  <c r="K58" i="3" s="1"/>
  <c r="AD58" i="3" s="1"/>
  <c r="K83" i="1"/>
  <c r="K59" i="3" s="1"/>
  <c r="AD59" i="3" s="1"/>
  <c r="K84" i="1"/>
  <c r="K60" i="3" s="1"/>
  <c r="AD60" i="3" s="1"/>
  <c r="K85" i="1"/>
  <c r="K61" i="3" s="1"/>
  <c r="AD61" i="3" s="1"/>
  <c r="K75" i="1"/>
  <c r="K51" i="3" s="1"/>
  <c r="AD51" i="3" s="1"/>
  <c r="K73" i="1"/>
  <c r="K49" i="3" s="1"/>
  <c r="AD49" i="3" s="1"/>
  <c r="S130" i="1" l="1"/>
  <c r="S106" i="3" s="1"/>
  <c r="AH106" i="3" s="1"/>
  <c r="S131" i="1"/>
  <c r="S107" i="3" s="1"/>
  <c r="AH107" i="3" s="1"/>
  <c r="S132" i="1"/>
  <c r="S108" i="3" s="1"/>
  <c r="AH108" i="3" s="1"/>
  <c r="S133" i="1"/>
  <c r="S109" i="3" s="1"/>
  <c r="AH109" i="3" s="1"/>
  <c r="S134" i="1"/>
  <c r="S110" i="3" s="1"/>
  <c r="AH110" i="3" s="1"/>
  <c r="S135" i="1"/>
  <c r="S111" i="3" s="1"/>
  <c r="AH111" i="3" s="1"/>
  <c r="S136" i="1"/>
  <c r="S112" i="3" s="1"/>
  <c r="AH112" i="3" s="1"/>
  <c r="S137" i="1"/>
  <c r="S113" i="3" s="1"/>
  <c r="AH113" i="3" s="1"/>
  <c r="S138" i="1"/>
  <c r="S114" i="3" s="1"/>
  <c r="AH114" i="3" s="1"/>
  <c r="S139" i="1"/>
  <c r="S115" i="3" s="1"/>
  <c r="AH115" i="3" s="1"/>
  <c r="S129" i="1"/>
  <c r="S105" i="3" s="1"/>
  <c r="AH105" i="3" s="1"/>
  <c r="S128" i="1"/>
  <c r="S104" i="3" s="1"/>
  <c r="AH104" i="3" s="1"/>
  <c r="S126" i="1"/>
  <c r="S102" i="3" s="1"/>
  <c r="AH102" i="3" s="1"/>
  <c r="S108" i="1"/>
  <c r="S84" i="3" s="1"/>
  <c r="AH84" i="3" s="1"/>
  <c r="S109" i="1"/>
  <c r="S85" i="3" s="1"/>
  <c r="AH85" i="3" s="1"/>
  <c r="S110" i="1"/>
  <c r="S86" i="3" s="1"/>
  <c r="AH86" i="3" s="1"/>
  <c r="S111" i="1"/>
  <c r="S87" i="3" s="1"/>
  <c r="AH87" i="3" s="1"/>
  <c r="S112" i="1"/>
  <c r="S88" i="3" s="1"/>
  <c r="AH88" i="3" s="1"/>
  <c r="S113" i="1"/>
  <c r="S89" i="3" s="1"/>
  <c r="AH89" i="3" s="1"/>
  <c r="S114" i="1"/>
  <c r="S90" i="3" s="1"/>
  <c r="AH90" i="3" s="1"/>
  <c r="S115" i="1"/>
  <c r="S91" i="3" s="1"/>
  <c r="AH91" i="3" s="1"/>
  <c r="S116" i="1"/>
  <c r="S92" i="3" s="1"/>
  <c r="AH92" i="3" s="1"/>
  <c r="S117" i="1"/>
  <c r="S93" i="3" s="1"/>
  <c r="AH93" i="3" s="1"/>
  <c r="S118" i="1"/>
  <c r="S94" i="3" s="1"/>
  <c r="AH94" i="3" s="1"/>
  <c r="S119" i="1"/>
  <c r="S95" i="3" s="1"/>
  <c r="AH95" i="3" s="1"/>
  <c r="S120" i="1"/>
  <c r="S96" i="3" s="1"/>
  <c r="AH96" i="3" s="1"/>
  <c r="S121" i="1"/>
  <c r="S97" i="3" s="1"/>
  <c r="AH97" i="3" s="1"/>
  <c r="S122" i="1"/>
  <c r="S98" i="3" s="1"/>
  <c r="AH98" i="3" s="1"/>
  <c r="S123" i="1"/>
  <c r="S99" i="3" s="1"/>
  <c r="AH99" i="3" s="1"/>
  <c r="S124" i="1"/>
  <c r="S100" i="3" s="1"/>
  <c r="AH100" i="3" s="1"/>
  <c r="S107" i="1"/>
  <c r="S83" i="3" s="1"/>
  <c r="AH83" i="3" s="1"/>
  <c r="S105" i="1"/>
  <c r="S81" i="3" s="1"/>
  <c r="AH81" i="3" s="1"/>
  <c r="S97" i="1"/>
  <c r="S73" i="3" s="1"/>
  <c r="AH73" i="3" s="1"/>
  <c r="S95" i="1"/>
  <c r="S71" i="3" s="1"/>
  <c r="AH71" i="3" s="1"/>
  <c r="S96" i="1"/>
  <c r="S72" i="3" s="1"/>
  <c r="AH72" i="3" s="1"/>
  <c r="S94" i="1"/>
  <c r="S70" i="3" s="1"/>
  <c r="AH70" i="3" s="1"/>
  <c r="S91" i="1"/>
  <c r="S67" i="3" s="1"/>
  <c r="AH67" i="3" s="1"/>
  <c r="S92" i="1"/>
  <c r="S68" i="3" s="1"/>
  <c r="AH68" i="3" s="1"/>
  <c r="S90" i="1"/>
  <c r="S66" i="3" s="1"/>
  <c r="AH66" i="3" s="1"/>
  <c r="S87" i="1"/>
  <c r="S63" i="3" s="1"/>
  <c r="AH63" i="3" s="1"/>
  <c r="S76" i="1"/>
  <c r="S52" i="3" s="1"/>
  <c r="AH52" i="3" s="1"/>
  <c r="S77" i="1"/>
  <c r="S53" i="3" s="1"/>
  <c r="AH53" i="3" s="1"/>
  <c r="S78" i="1"/>
  <c r="S54" i="3" s="1"/>
  <c r="AH54" i="3" s="1"/>
  <c r="S79" i="1"/>
  <c r="S55" i="3" s="1"/>
  <c r="AH55" i="3" s="1"/>
  <c r="S80" i="1"/>
  <c r="S56" i="3" s="1"/>
  <c r="AH56" i="3" s="1"/>
  <c r="S81" i="1"/>
  <c r="S57" i="3" s="1"/>
  <c r="AH57" i="3" s="1"/>
  <c r="S82" i="1"/>
  <c r="S58" i="3" s="1"/>
  <c r="AH58" i="3" s="1"/>
  <c r="S83" i="1"/>
  <c r="S59" i="3" s="1"/>
  <c r="AH59" i="3" s="1"/>
  <c r="S84" i="1"/>
  <c r="S60" i="3" s="1"/>
  <c r="AH60" i="3" s="1"/>
  <c r="S85" i="1"/>
  <c r="S61" i="3" s="1"/>
  <c r="AH61" i="3" s="1"/>
  <c r="S75" i="1"/>
  <c r="S51" i="3" s="1"/>
  <c r="AH51" i="3" s="1"/>
  <c r="G73" i="1"/>
  <c r="G49" i="3" s="1"/>
  <c r="AB49" i="3" s="1"/>
  <c r="S73" i="1" l="1"/>
  <c r="X73" i="1" l="1"/>
  <c r="S49" i="3"/>
  <c r="AH49" i="3" s="1"/>
  <c r="AJ49" i="3" s="1"/>
  <c r="G130" i="1"/>
  <c r="G131" i="1"/>
  <c r="G132" i="1"/>
  <c r="G133" i="1"/>
  <c r="G134" i="1"/>
  <c r="G135" i="1"/>
  <c r="G136" i="1"/>
  <c r="G137" i="1"/>
  <c r="G138" i="1"/>
  <c r="G139" i="1"/>
  <c r="G129" i="1"/>
  <c r="G128" i="1"/>
  <c r="G126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07" i="1"/>
  <c r="G105" i="1"/>
  <c r="G100" i="1"/>
  <c r="G101" i="1"/>
  <c r="G102" i="1"/>
  <c r="G103" i="1"/>
  <c r="G99" i="1"/>
  <c r="G97" i="1"/>
  <c r="G96" i="1"/>
  <c r="G95" i="1"/>
  <c r="G94" i="1"/>
  <c r="G92" i="1"/>
  <c r="G91" i="1"/>
  <c r="G90" i="1"/>
  <c r="G87" i="1"/>
  <c r="G76" i="1"/>
  <c r="G77" i="1"/>
  <c r="G78" i="1"/>
  <c r="G79" i="1"/>
  <c r="G80" i="1"/>
  <c r="G81" i="1"/>
  <c r="G82" i="1"/>
  <c r="G83" i="1"/>
  <c r="G84" i="1"/>
  <c r="G85" i="1"/>
  <c r="G75" i="1"/>
  <c r="X134" i="1" l="1"/>
  <c r="X110" i="3" s="1"/>
  <c r="G110" i="3"/>
  <c r="AB110" i="3" s="1"/>
  <c r="AJ110" i="3" s="1"/>
  <c r="X105" i="1"/>
  <c r="X81" i="3" s="1"/>
  <c r="G81" i="3"/>
  <c r="AB81" i="3" s="1"/>
  <c r="AJ81" i="3" s="1"/>
  <c r="X115" i="1"/>
  <c r="X91" i="3" s="1"/>
  <c r="G91" i="3"/>
  <c r="AB91" i="3" s="1"/>
  <c r="AJ91" i="3" s="1"/>
  <c r="X116" i="1"/>
  <c r="X92" i="3" s="1"/>
  <c r="G92" i="3"/>
  <c r="AB92" i="3" s="1"/>
  <c r="AJ92" i="3" s="1"/>
  <c r="X138" i="1"/>
  <c r="X114" i="3" s="1"/>
  <c r="G114" i="3"/>
  <c r="AB114" i="3" s="1"/>
  <c r="AJ114" i="3" s="1"/>
  <c r="X137" i="1"/>
  <c r="X113" i="3" s="1"/>
  <c r="G113" i="3"/>
  <c r="AB113" i="3" s="1"/>
  <c r="AJ113" i="3" s="1"/>
  <c r="X113" i="1"/>
  <c r="X89" i="3" s="1"/>
  <c r="G89" i="3"/>
  <c r="AB89" i="3" s="1"/>
  <c r="AJ89" i="3" s="1"/>
  <c r="X124" i="1"/>
  <c r="X100" i="3" s="1"/>
  <c r="G100" i="3"/>
  <c r="AB100" i="3" s="1"/>
  <c r="AJ100" i="3" s="1"/>
  <c r="X83" i="1"/>
  <c r="G59" i="3"/>
  <c r="AB59" i="3" s="1"/>
  <c r="AJ59" i="3" s="1"/>
  <c r="X95" i="1"/>
  <c r="G71" i="3"/>
  <c r="AB71" i="3" s="1"/>
  <c r="AJ71" i="3" s="1"/>
  <c r="X133" i="1"/>
  <c r="X109" i="3" s="1"/>
  <c r="G109" i="3"/>
  <c r="AB109" i="3" s="1"/>
  <c r="AJ109" i="3" s="1"/>
  <c r="X121" i="1"/>
  <c r="X97" i="3" s="1"/>
  <c r="G97" i="3"/>
  <c r="AB97" i="3" s="1"/>
  <c r="AJ97" i="3" s="1"/>
  <c r="X80" i="1"/>
  <c r="G56" i="3"/>
  <c r="AB56" i="3" s="1"/>
  <c r="AJ56" i="3" s="1"/>
  <c r="X120" i="1"/>
  <c r="X96" i="3" s="1"/>
  <c r="G96" i="3"/>
  <c r="AB96" i="3" s="1"/>
  <c r="AJ96" i="3" s="1"/>
  <c r="X108" i="1"/>
  <c r="X84" i="3" s="1"/>
  <c r="G84" i="3"/>
  <c r="AB84" i="3" s="1"/>
  <c r="AJ84" i="3" s="1"/>
  <c r="X131" i="1"/>
  <c r="X107" i="3" s="1"/>
  <c r="G107" i="3"/>
  <c r="AB107" i="3" s="1"/>
  <c r="AJ107" i="3" s="1"/>
  <c r="X101" i="1"/>
  <c r="G77" i="3"/>
  <c r="AB77" i="3" s="1"/>
  <c r="AJ77" i="3" s="1"/>
  <c r="X87" i="1"/>
  <c r="G63" i="3"/>
  <c r="AB63" i="3" s="1"/>
  <c r="AJ63" i="3" s="1"/>
  <c r="X114" i="1"/>
  <c r="X90" i="3" s="1"/>
  <c r="G90" i="3"/>
  <c r="AB90" i="3" s="1"/>
  <c r="AJ90" i="3" s="1"/>
  <c r="X91" i="1"/>
  <c r="G67" i="3"/>
  <c r="AB67" i="3" s="1"/>
  <c r="AJ67" i="3" s="1"/>
  <c r="X84" i="1"/>
  <c r="G60" i="3"/>
  <c r="AB60" i="3" s="1"/>
  <c r="AJ60" i="3" s="1"/>
  <c r="X112" i="1"/>
  <c r="X88" i="3" s="1"/>
  <c r="G88" i="3"/>
  <c r="AB88" i="3" s="1"/>
  <c r="AJ88" i="3" s="1"/>
  <c r="X111" i="1"/>
  <c r="X87" i="3" s="1"/>
  <c r="G87" i="3"/>
  <c r="AB87" i="3" s="1"/>
  <c r="AJ87" i="3" s="1"/>
  <c r="X110" i="1"/>
  <c r="X86" i="3" s="1"/>
  <c r="G86" i="3"/>
  <c r="AB86" i="3" s="1"/>
  <c r="AJ86" i="3" s="1"/>
  <c r="X96" i="1"/>
  <c r="G72" i="3"/>
  <c r="AB72" i="3" s="1"/>
  <c r="AJ72" i="3" s="1"/>
  <c r="X109" i="1"/>
  <c r="X85" i="3" s="1"/>
  <c r="G85" i="3"/>
  <c r="AB85" i="3" s="1"/>
  <c r="AJ85" i="3" s="1"/>
  <c r="X99" i="1"/>
  <c r="G75" i="3"/>
  <c r="AB75" i="3" s="1"/>
  <c r="AJ75" i="3" s="1"/>
  <c r="X119" i="1"/>
  <c r="X95" i="3" s="1"/>
  <c r="G95" i="3"/>
  <c r="AB95" i="3" s="1"/>
  <c r="AJ95" i="3" s="1"/>
  <c r="X126" i="1"/>
  <c r="X102" i="3" s="1"/>
  <c r="G102" i="3"/>
  <c r="AB102" i="3" s="1"/>
  <c r="AJ102" i="3" s="1"/>
  <c r="X130" i="1"/>
  <c r="X106" i="3" s="1"/>
  <c r="G106" i="3"/>
  <c r="AB106" i="3" s="1"/>
  <c r="AJ106" i="3" s="1"/>
  <c r="X76" i="1"/>
  <c r="G52" i="3"/>
  <c r="AB52" i="3" s="1"/>
  <c r="AJ52" i="3" s="1"/>
  <c r="X100" i="1"/>
  <c r="G76" i="3"/>
  <c r="AB76" i="3" s="1"/>
  <c r="AJ76" i="3" s="1"/>
  <c r="X75" i="1"/>
  <c r="G51" i="3"/>
  <c r="AB51" i="3" s="1"/>
  <c r="AJ51" i="3" s="1"/>
  <c r="X85" i="1"/>
  <c r="G61" i="3"/>
  <c r="AB61" i="3" s="1"/>
  <c r="AJ61" i="3" s="1"/>
  <c r="X107" i="1"/>
  <c r="X83" i="3" s="1"/>
  <c r="G83" i="3"/>
  <c r="AB83" i="3" s="1"/>
  <c r="AJ83" i="3" s="1"/>
  <c r="X135" i="1"/>
  <c r="X111" i="3" s="1"/>
  <c r="G111" i="3"/>
  <c r="AB111" i="3" s="1"/>
  <c r="AJ111" i="3" s="1"/>
  <c r="X123" i="1"/>
  <c r="X99" i="3" s="1"/>
  <c r="G99" i="3"/>
  <c r="AB99" i="3" s="1"/>
  <c r="AJ99" i="3" s="1"/>
  <c r="X122" i="1"/>
  <c r="X98" i="3" s="1"/>
  <c r="G98" i="3"/>
  <c r="AB98" i="3" s="1"/>
  <c r="AJ98" i="3" s="1"/>
  <c r="X103" i="1"/>
  <c r="G79" i="3"/>
  <c r="AB79" i="3" s="1"/>
  <c r="AJ79" i="3" s="1"/>
  <c r="X139" i="1"/>
  <c r="X115" i="3" s="1"/>
  <c r="G115" i="3"/>
  <c r="AB115" i="3" s="1"/>
  <c r="AJ115" i="3" s="1"/>
  <c r="X90" i="1"/>
  <c r="G66" i="3"/>
  <c r="AB66" i="3" s="1"/>
  <c r="AJ66" i="3" s="1"/>
  <c r="X136" i="1"/>
  <c r="X112" i="3" s="1"/>
  <c r="G112" i="3"/>
  <c r="AB112" i="3" s="1"/>
  <c r="AJ112" i="3" s="1"/>
  <c r="X92" i="1"/>
  <c r="G68" i="3"/>
  <c r="AB68" i="3" s="1"/>
  <c r="AJ68" i="3" s="1"/>
  <c r="X94" i="1"/>
  <c r="G70" i="3"/>
  <c r="AB70" i="3" s="1"/>
  <c r="AJ70" i="3" s="1"/>
  <c r="X82" i="1"/>
  <c r="G58" i="3"/>
  <c r="AB58" i="3" s="1"/>
  <c r="AJ58" i="3" s="1"/>
  <c r="X81" i="1"/>
  <c r="G57" i="3"/>
  <c r="AB57" i="3" s="1"/>
  <c r="AJ57" i="3" s="1"/>
  <c r="X132" i="1"/>
  <c r="X108" i="3" s="1"/>
  <c r="G108" i="3"/>
  <c r="AB108" i="3" s="1"/>
  <c r="AJ108" i="3" s="1"/>
  <c r="X97" i="1"/>
  <c r="G73" i="3"/>
  <c r="AB73" i="3" s="1"/>
  <c r="AJ73" i="3" s="1"/>
  <c r="X79" i="1"/>
  <c r="G55" i="3"/>
  <c r="AB55" i="3" s="1"/>
  <c r="AJ55" i="3" s="1"/>
  <c r="X78" i="1"/>
  <c r="G54" i="3"/>
  <c r="AB54" i="3" s="1"/>
  <c r="AJ54" i="3" s="1"/>
  <c r="X118" i="1"/>
  <c r="X94" i="3" s="1"/>
  <c r="G94" i="3"/>
  <c r="AB94" i="3" s="1"/>
  <c r="AJ94" i="3" s="1"/>
  <c r="X128" i="1"/>
  <c r="X104" i="3" s="1"/>
  <c r="G104" i="3"/>
  <c r="AB104" i="3" s="1"/>
  <c r="AJ104" i="3" s="1"/>
  <c r="X77" i="1"/>
  <c r="G53" i="3"/>
  <c r="AB53" i="3" s="1"/>
  <c r="AJ53" i="3" s="1"/>
  <c r="X102" i="1"/>
  <c r="G78" i="3"/>
  <c r="AB78" i="3" s="1"/>
  <c r="AJ78" i="3" s="1"/>
  <c r="X117" i="1"/>
  <c r="X93" i="3" s="1"/>
  <c r="G93" i="3"/>
  <c r="AB93" i="3" s="1"/>
  <c r="AJ93" i="3" s="1"/>
  <c r="X129" i="1"/>
  <c r="X105" i="3" s="1"/>
  <c r="G105" i="3"/>
  <c r="AB105" i="3" s="1"/>
  <c r="AJ105" i="3" s="1"/>
  <c r="Y73" i="1"/>
  <c r="X49" i="3"/>
  <c r="W35" i="1"/>
  <c r="W11" i="3" s="1"/>
  <c r="W36" i="1"/>
  <c r="W12" i="3" s="1"/>
  <c r="W55" i="1"/>
  <c r="W31" i="3" s="1"/>
  <c r="W56" i="1"/>
  <c r="W32" i="3" s="1"/>
  <c r="W57" i="1"/>
  <c r="W33" i="3" s="1"/>
  <c r="W58" i="1"/>
  <c r="W34" i="3" s="1"/>
  <c r="W64" i="1"/>
  <c r="W40" i="3" s="1"/>
  <c r="W65" i="1"/>
  <c r="W41" i="3" s="1"/>
  <c r="W69" i="1"/>
  <c r="W45" i="3" s="1"/>
  <c r="W72" i="1"/>
  <c r="W48" i="3" s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5" i="1"/>
  <c r="W81" i="3" s="1"/>
  <c r="W106" i="1"/>
  <c r="W82" i="3" s="1"/>
  <c r="W107" i="1"/>
  <c r="W83" i="3" s="1"/>
  <c r="W108" i="1"/>
  <c r="W84" i="3" s="1"/>
  <c r="W109" i="1"/>
  <c r="W85" i="3" s="1"/>
  <c r="W110" i="1"/>
  <c r="W86" i="3" s="1"/>
  <c r="W111" i="1"/>
  <c r="W87" i="3" s="1"/>
  <c r="W112" i="1"/>
  <c r="W88" i="3" s="1"/>
  <c r="W113" i="1"/>
  <c r="W89" i="3" s="1"/>
  <c r="W114" i="1"/>
  <c r="W90" i="3" s="1"/>
  <c r="W115" i="1"/>
  <c r="W91" i="3" s="1"/>
  <c r="W116" i="1"/>
  <c r="W92" i="3" s="1"/>
  <c r="W117" i="1"/>
  <c r="W93" i="3" s="1"/>
  <c r="W118" i="1"/>
  <c r="W94" i="3" s="1"/>
  <c r="W119" i="1"/>
  <c r="W95" i="3" s="1"/>
  <c r="W120" i="1"/>
  <c r="W96" i="3" s="1"/>
  <c r="W121" i="1"/>
  <c r="W97" i="3" s="1"/>
  <c r="W122" i="1"/>
  <c r="W98" i="3" s="1"/>
  <c r="W123" i="1"/>
  <c r="W99" i="3" s="1"/>
  <c r="W124" i="1"/>
  <c r="W100" i="3" s="1"/>
  <c r="W125" i="1"/>
  <c r="W101" i="3" s="1"/>
  <c r="W126" i="1"/>
  <c r="W102" i="3" s="1"/>
  <c r="W127" i="1"/>
  <c r="W103" i="3" s="1"/>
  <c r="W128" i="1"/>
  <c r="W104" i="3" s="1"/>
  <c r="W129" i="1"/>
  <c r="W105" i="3" s="1"/>
  <c r="W130" i="1"/>
  <c r="W106" i="3" s="1"/>
  <c r="W131" i="1"/>
  <c r="W107" i="3" s="1"/>
  <c r="W132" i="1"/>
  <c r="W108" i="3" s="1"/>
  <c r="W133" i="1"/>
  <c r="W109" i="3" s="1"/>
  <c r="W134" i="1"/>
  <c r="W110" i="3" s="1"/>
  <c r="W135" i="1"/>
  <c r="W111" i="3" s="1"/>
  <c r="W136" i="1"/>
  <c r="W112" i="3" s="1"/>
  <c r="W137" i="1"/>
  <c r="W113" i="3" s="1"/>
  <c r="W138" i="1"/>
  <c r="W114" i="3" s="1"/>
  <c r="W139" i="1"/>
  <c r="W115" i="3" s="1"/>
  <c r="X35" i="1"/>
  <c r="X36" i="1"/>
  <c r="X55" i="1"/>
  <c r="X56" i="1"/>
  <c r="X57" i="1"/>
  <c r="X58" i="1"/>
  <c r="X64" i="1"/>
  <c r="X65" i="1"/>
  <c r="X69" i="1"/>
  <c r="X72" i="1"/>
  <c r="Y105" i="1"/>
  <c r="Y106" i="1"/>
  <c r="Y107" i="1"/>
  <c r="Y108" i="1"/>
  <c r="Y109" i="1"/>
  <c r="Y111" i="1"/>
  <c r="Y113" i="1"/>
  <c r="Y114" i="1"/>
  <c r="Y117" i="1"/>
  <c r="Y118" i="1"/>
  <c r="Y120" i="1"/>
  <c r="Y122" i="1"/>
  <c r="Y123" i="1"/>
  <c r="Y124" i="1"/>
  <c r="Y125" i="1"/>
  <c r="Y127" i="1"/>
  <c r="Y129" i="1"/>
  <c r="Y131" i="1"/>
  <c r="Y133" i="1"/>
  <c r="Y134" i="1"/>
  <c r="Y138" i="1"/>
  <c r="Y139" i="1"/>
  <c r="Y132" i="1" l="1"/>
  <c r="Y119" i="1"/>
  <c r="Y130" i="1"/>
  <c r="Y115" i="1"/>
  <c r="Z115" i="1" s="1"/>
  <c r="Z91" i="3" s="1"/>
  <c r="Y116" i="1"/>
  <c r="AK92" i="3" s="1"/>
  <c r="AL92" i="3" s="1"/>
  <c r="Y128" i="1"/>
  <c r="Y104" i="3" s="1"/>
  <c r="Y126" i="1"/>
  <c r="AK102" i="3" s="1"/>
  <c r="AL102" i="3" s="1"/>
  <c r="Y112" i="1"/>
  <c r="AK94" i="3"/>
  <c r="AL94" i="3" s="1"/>
  <c r="Y94" i="3"/>
  <c r="AK82" i="3"/>
  <c r="AL82" i="3" s="1"/>
  <c r="Y82" i="3"/>
  <c r="W78" i="3"/>
  <c r="W77" i="3"/>
  <c r="Z87" i="1"/>
  <c r="Z63" i="3" s="1"/>
  <c r="W63" i="3"/>
  <c r="W51" i="3"/>
  <c r="Y97" i="1"/>
  <c r="Z97" i="1" s="1"/>
  <c r="Z73" i="3" s="1"/>
  <c r="X73" i="3"/>
  <c r="Y87" i="1"/>
  <c r="X63" i="3"/>
  <c r="Y69" i="1"/>
  <c r="Z69" i="1" s="1"/>
  <c r="Z45" i="3" s="1"/>
  <c r="X45" i="3"/>
  <c r="W75" i="3"/>
  <c r="W61" i="3"/>
  <c r="Z73" i="1"/>
  <c r="Z49" i="3" s="1"/>
  <c r="W49" i="3"/>
  <c r="Y77" i="1"/>
  <c r="Z77" i="1" s="1"/>
  <c r="Z53" i="3" s="1"/>
  <c r="X53" i="3"/>
  <c r="Y90" i="1"/>
  <c r="X66" i="3"/>
  <c r="Y101" i="1"/>
  <c r="Z101" i="1" s="1"/>
  <c r="Z77" i="3" s="1"/>
  <c r="X77" i="3"/>
  <c r="Z74" i="1"/>
  <c r="Z50" i="3" s="1"/>
  <c r="W50" i="3"/>
  <c r="AK101" i="3"/>
  <c r="AL101" i="3" s="1"/>
  <c r="Y101" i="3"/>
  <c r="AK89" i="3"/>
  <c r="AL89" i="3" s="1"/>
  <c r="Y89" i="3"/>
  <c r="Y81" i="1"/>
  <c r="Z81" i="1" s="1"/>
  <c r="Z57" i="3" s="1"/>
  <c r="X57" i="3"/>
  <c r="Y85" i="1"/>
  <c r="Z85" i="1" s="1"/>
  <c r="Z61" i="3" s="1"/>
  <c r="X61" i="3"/>
  <c r="Y95" i="1"/>
  <c r="Z95" i="1" s="1"/>
  <c r="Z71" i="3" s="1"/>
  <c r="X71" i="3"/>
  <c r="AK104" i="3"/>
  <c r="AL104" i="3" s="1"/>
  <c r="Z98" i="1"/>
  <c r="Z74" i="3" s="1"/>
  <c r="W74" i="3"/>
  <c r="W60" i="3"/>
  <c r="Y137" i="1"/>
  <c r="Z137" i="1" s="1"/>
  <c r="Z113" i="3" s="1"/>
  <c r="Y64" i="1"/>
  <c r="X40" i="3"/>
  <c r="W73" i="3"/>
  <c r="Z83" i="1"/>
  <c r="Z59" i="3" s="1"/>
  <c r="W59" i="3"/>
  <c r="Y136" i="1"/>
  <c r="AK100" i="3"/>
  <c r="AL100" i="3" s="1"/>
  <c r="Y100" i="3"/>
  <c r="AK88" i="3"/>
  <c r="AL88" i="3" s="1"/>
  <c r="Y88" i="3"/>
  <c r="Y58" i="1"/>
  <c r="X34" i="3"/>
  <c r="W72" i="3"/>
  <c r="W58" i="3"/>
  <c r="AK105" i="3"/>
  <c r="AL105" i="3" s="1"/>
  <c r="Y105" i="3"/>
  <c r="AK93" i="3"/>
  <c r="AL93" i="3" s="1"/>
  <c r="Y93" i="3"/>
  <c r="AK81" i="3"/>
  <c r="AL81" i="3" s="1"/>
  <c r="Y81" i="3"/>
  <c r="Y72" i="1"/>
  <c r="Z72" i="1" s="1"/>
  <c r="Z48" i="3" s="1"/>
  <c r="X48" i="3"/>
  <c r="AK115" i="3"/>
  <c r="AL115" i="3" s="1"/>
  <c r="Y115" i="3"/>
  <c r="AK103" i="3"/>
  <c r="AL103" i="3" s="1"/>
  <c r="Y103" i="3"/>
  <c r="AK91" i="3"/>
  <c r="AL91" i="3" s="1"/>
  <c r="Y91" i="3"/>
  <c r="AK114" i="3"/>
  <c r="AL114" i="3" s="1"/>
  <c r="Y114" i="3"/>
  <c r="AK90" i="3"/>
  <c r="AL90" i="3" s="1"/>
  <c r="Y90" i="3"/>
  <c r="Y65" i="1"/>
  <c r="Z65" i="1" s="1"/>
  <c r="Z41" i="3" s="1"/>
  <c r="X41" i="3"/>
  <c r="Y135" i="1"/>
  <c r="AK99" i="3"/>
  <c r="AL99" i="3" s="1"/>
  <c r="Y99" i="3"/>
  <c r="AK87" i="3"/>
  <c r="AL87" i="3" s="1"/>
  <c r="Y87" i="3"/>
  <c r="Y57" i="1"/>
  <c r="X33" i="3"/>
  <c r="W71" i="3"/>
  <c r="W57" i="3"/>
  <c r="AK49" i="3"/>
  <c r="AL49" i="3" s="1"/>
  <c r="Y49" i="3"/>
  <c r="Y82" i="1"/>
  <c r="X58" i="3"/>
  <c r="Y103" i="1"/>
  <c r="Z103" i="1" s="1"/>
  <c r="Z79" i="3" s="1"/>
  <c r="X79" i="3"/>
  <c r="Y75" i="1"/>
  <c r="Z75" i="1" s="1"/>
  <c r="Z51" i="3" s="1"/>
  <c r="X51" i="3"/>
  <c r="Y99" i="1"/>
  <c r="Z99" i="1" s="1"/>
  <c r="Z75" i="3" s="1"/>
  <c r="X75" i="3"/>
  <c r="Y84" i="1"/>
  <c r="Z84" i="1" s="1"/>
  <c r="Z60" i="3" s="1"/>
  <c r="X60" i="3"/>
  <c r="Y83" i="1"/>
  <c r="X59" i="3"/>
  <c r="Z90" i="1"/>
  <c r="Z66" i="3" s="1"/>
  <c r="W66" i="3"/>
  <c r="AK110" i="3"/>
  <c r="AL110" i="3" s="1"/>
  <c r="Y110" i="3"/>
  <c r="AK98" i="3"/>
  <c r="AL98" i="3" s="1"/>
  <c r="Y98" i="3"/>
  <c r="Y110" i="1"/>
  <c r="Z110" i="1" s="1"/>
  <c r="Z86" i="3" s="1"/>
  <c r="Y56" i="1"/>
  <c r="X32" i="3"/>
  <c r="W70" i="3"/>
  <c r="W56" i="3"/>
  <c r="Z86" i="1"/>
  <c r="Z62" i="3" s="1"/>
  <c r="W62" i="3"/>
  <c r="AK109" i="3"/>
  <c r="AL109" i="3" s="1"/>
  <c r="Y109" i="3"/>
  <c r="Z93" i="1"/>
  <c r="Z69" i="3" s="1"/>
  <c r="W69" i="3"/>
  <c r="Z79" i="1"/>
  <c r="Z55" i="3" s="1"/>
  <c r="W55" i="3"/>
  <c r="Y78" i="1"/>
  <c r="X54" i="3"/>
  <c r="Y94" i="1"/>
  <c r="X70" i="3"/>
  <c r="Y100" i="1"/>
  <c r="Z100" i="1" s="1"/>
  <c r="Z76" i="3" s="1"/>
  <c r="X76" i="3"/>
  <c r="Y91" i="1"/>
  <c r="Z91" i="1" s="1"/>
  <c r="Z67" i="3" s="1"/>
  <c r="X67" i="3"/>
  <c r="AK106" i="3"/>
  <c r="AL106" i="3" s="1"/>
  <c r="Y106" i="3"/>
  <c r="W52" i="3"/>
  <c r="Y102" i="1"/>
  <c r="X78" i="3"/>
  <c r="W76" i="3"/>
  <c r="Y121" i="1"/>
  <c r="AK85" i="3"/>
  <c r="AL85" i="3" s="1"/>
  <c r="Y85" i="3"/>
  <c r="Y55" i="1"/>
  <c r="X31" i="3"/>
  <c r="AK108" i="3"/>
  <c r="AL108" i="3" s="1"/>
  <c r="Y108" i="3"/>
  <c r="AK96" i="3"/>
  <c r="AL96" i="3" s="1"/>
  <c r="Y96" i="3"/>
  <c r="AK84" i="3"/>
  <c r="AL84" i="3" s="1"/>
  <c r="Y84" i="3"/>
  <c r="Y36" i="1"/>
  <c r="X12" i="3"/>
  <c r="W68" i="3"/>
  <c r="Z78" i="1"/>
  <c r="Z54" i="3" s="1"/>
  <c r="W54" i="3"/>
  <c r="AK107" i="3"/>
  <c r="AL107" i="3" s="1"/>
  <c r="Y107" i="3"/>
  <c r="AK95" i="3"/>
  <c r="AL95" i="3" s="1"/>
  <c r="Y95" i="3"/>
  <c r="AK83" i="3"/>
  <c r="AL83" i="3" s="1"/>
  <c r="Y83" i="3"/>
  <c r="Y35" i="1"/>
  <c r="X11" i="3"/>
  <c r="W79" i="3"/>
  <c r="W67" i="3"/>
  <c r="W53" i="3"/>
  <c r="Y79" i="1"/>
  <c r="X55" i="3"/>
  <c r="Y92" i="1"/>
  <c r="Z92" i="1" s="1"/>
  <c r="Z68" i="3" s="1"/>
  <c r="X68" i="3"/>
  <c r="Y76" i="1"/>
  <c r="X52" i="3"/>
  <c r="Y96" i="1"/>
  <c r="X72" i="3"/>
  <c r="Y80" i="1"/>
  <c r="Z80" i="1" s="1"/>
  <c r="Z56" i="3" s="1"/>
  <c r="X56" i="3"/>
  <c r="Z129" i="1"/>
  <c r="Z105" i="3" s="1"/>
  <c r="Z123" i="1"/>
  <c r="Z99" i="3" s="1"/>
  <c r="Z117" i="1"/>
  <c r="Z93" i="3" s="1"/>
  <c r="Z134" i="1"/>
  <c r="Z110" i="3" s="1"/>
  <c r="Z128" i="1"/>
  <c r="Z104" i="3" s="1"/>
  <c r="Z122" i="1"/>
  <c r="Z98" i="3" s="1"/>
  <c r="Z139" i="1"/>
  <c r="Z115" i="3" s="1"/>
  <c r="Z133" i="1"/>
  <c r="Z109" i="3" s="1"/>
  <c r="Z127" i="1"/>
  <c r="Z103" i="3" s="1"/>
  <c r="Z109" i="1"/>
  <c r="Z85" i="3" s="1"/>
  <c r="Z135" i="1"/>
  <c r="Z111" i="3" s="1"/>
  <c r="Z105" i="1"/>
  <c r="Z81" i="3" s="1"/>
  <c r="Z131" i="1"/>
  <c r="Z107" i="3" s="1"/>
  <c r="Z125" i="1"/>
  <c r="Z101" i="3" s="1"/>
  <c r="Z119" i="1"/>
  <c r="Z95" i="3" s="1"/>
  <c r="Z113" i="1"/>
  <c r="Z89" i="3" s="1"/>
  <c r="Z107" i="1"/>
  <c r="Z83" i="3" s="1"/>
  <c r="Z136" i="1"/>
  <c r="Z112" i="3" s="1"/>
  <c r="Z130" i="1"/>
  <c r="Z106" i="3" s="1"/>
  <c r="Z124" i="1"/>
  <c r="Z100" i="3" s="1"/>
  <c r="Z118" i="1"/>
  <c r="Z94" i="3" s="1"/>
  <c r="Z112" i="1"/>
  <c r="Z88" i="3" s="1"/>
  <c r="Z106" i="1"/>
  <c r="Z82" i="3" s="1"/>
  <c r="Z138" i="1"/>
  <c r="Z114" i="3" s="1"/>
  <c r="Z132" i="1"/>
  <c r="Z108" i="3" s="1"/>
  <c r="Z120" i="1"/>
  <c r="Z96" i="3" s="1"/>
  <c r="Z114" i="1"/>
  <c r="Z90" i="3" s="1"/>
  <c r="Z108" i="1"/>
  <c r="Z84" i="3" s="1"/>
  <c r="Z111" i="1"/>
  <c r="Z87" i="3" s="1"/>
  <c r="R71" i="1"/>
  <c r="R70" i="1"/>
  <c r="P71" i="1"/>
  <c r="P47" i="3" s="1"/>
  <c r="P70" i="1"/>
  <c r="P46" i="3" s="1"/>
  <c r="N71" i="1"/>
  <c r="N47" i="3" s="1"/>
  <c r="N70" i="1"/>
  <c r="N46" i="3" s="1"/>
  <c r="L71" i="1"/>
  <c r="L47" i="3" s="1"/>
  <c r="L70" i="1"/>
  <c r="L46" i="3" s="1"/>
  <c r="J71" i="1"/>
  <c r="J47" i="3" s="1"/>
  <c r="J70" i="1"/>
  <c r="J46" i="3" s="1"/>
  <c r="H71" i="1"/>
  <c r="H47" i="3" s="1"/>
  <c r="H70" i="1"/>
  <c r="H46" i="3" s="1"/>
  <c r="F71" i="1"/>
  <c r="F47" i="3" s="1"/>
  <c r="F70" i="1"/>
  <c r="F46" i="3" s="1"/>
  <c r="F67" i="1"/>
  <c r="F43" i="3" s="1"/>
  <c r="F68" i="1"/>
  <c r="F44" i="3" s="1"/>
  <c r="F66" i="1"/>
  <c r="F42" i="3" s="1"/>
  <c r="H67" i="1"/>
  <c r="H43" i="3" s="1"/>
  <c r="H68" i="1"/>
  <c r="H44" i="3" s="1"/>
  <c r="H66" i="1"/>
  <c r="H42" i="3" s="1"/>
  <c r="J67" i="1"/>
  <c r="J43" i="3" s="1"/>
  <c r="J68" i="1"/>
  <c r="J44" i="3" s="1"/>
  <c r="J66" i="1"/>
  <c r="J42" i="3" s="1"/>
  <c r="L67" i="1"/>
  <c r="L43" i="3" s="1"/>
  <c r="L68" i="1"/>
  <c r="L44" i="3" s="1"/>
  <c r="L66" i="1"/>
  <c r="L42" i="3" s="1"/>
  <c r="N67" i="1"/>
  <c r="N43" i="3" s="1"/>
  <c r="N68" i="1"/>
  <c r="N44" i="3" s="1"/>
  <c r="N66" i="1"/>
  <c r="N42" i="3" s="1"/>
  <c r="P67" i="1"/>
  <c r="P43" i="3" s="1"/>
  <c r="P68" i="1"/>
  <c r="P44" i="3" s="1"/>
  <c r="R67" i="1"/>
  <c r="R68" i="1"/>
  <c r="P66" i="1"/>
  <c r="P42" i="3" s="1"/>
  <c r="R66" i="1"/>
  <c r="F60" i="1"/>
  <c r="F36" i="3" s="1"/>
  <c r="F61" i="1"/>
  <c r="F37" i="3" s="1"/>
  <c r="F62" i="1"/>
  <c r="F38" i="3" s="1"/>
  <c r="F63" i="1"/>
  <c r="F39" i="3" s="1"/>
  <c r="F59" i="1"/>
  <c r="F35" i="3" s="1"/>
  <c r="H60" i="1"/>
  <c r="H36" i="3" s="1"/>
  <c r="H61" i="1"/>
  <c r="H37" i="3" s="1"/>
  <c r="H62" i="1"/>
  <c r="H38" i="3" s="1"/>
  <c r="H63" i="1"/>
  <c r="H39" i="3" s="1"/>
  <c r="H59" i="1"/>
  <c r="H35" i="3" s="1"/>
  <c r="J60" i="1"/>
  <c r="J36" i="3" s="1"/>
  <c r="J61" i="1"/>
  <c r="J37" i="3" s="1"/>
  <c r="J62" i="1"/>
  <c r="J38" i="3" s="1"/>
  <c r="J63" i="1"/>
  <c r="J39" i="3" s="1"/>
  <c r="J59" i="1"/>
  <c r="J35" i="3" s="1"/>
  <c r="L60" i="1"/>
  <c r="L36" i="3" s="1"/>
  <c r="L61" i="1"/>
  <c r="L37" i="3" s="1"/>
  <c r="L62" i="1"/>
  <c r="L38" i="3" s="1"/>
  <c r="L63" i="1"/>
  <c r="L39" i="3" s="1"/>
  <c r="L59" i="1"/>
  <c r="L35" i="3" s="1"/>
  <c r="N60" i="1"/>
  <c r="N36" i="3" s="1"/>
  <c r="N61" i="1"/>
  <c r="N37" i="3" s="1"/>
  <c r="N62" i="1"/>
  <c r="N38" i="3" s="1"/>
  <c r="N63" i="1"/>
  <c r="N39" i="3" s="1"/>
  <c r="N59" i="1"/>
  <c r="N35" i="3" s="1"/>
  <c r="P60" i="1"/>
  <c r="P36" i="3" s="1"/>
  <c r="P61" i="1"/>
  <c r="P37" i="3" s="1"/>
  <c r="P62" i="1"/>
  <c r="P38" i="3" s="1"/>
  <c r="P63" i="1"/>
  <c r="P39" i="3" s="1"/>
  <c r="P59" i="1"/>
  <c r="P35" i="3" s="1"/>
  <c r="R60" i="1"/>
  <c r="R61" i="1"/>
  <c r="R62" i="1"/>
  <c r="R63" i="1"/>
  <c r="R59" i="1"/>
  <c r="Y92" i="3" l="1"/>
  <c r="Z126" i="1"/>
  <c r="Z102" i="3" s="1"/>
  <c r="Z116" i="1"/>
  <c r="Z92" i="3" s="1"/>
  <c r="Y102" i="3"/>
  <c r="R37" i="3"/>
  <c r="V61" i="1"/>
  <c r="AK67" i="3"/>
  <c r="AL67" i="3" s="1"/>
  <c r="Y67" i="3"/>
  <c r="AK52" i="3"/>
  <c r="AL52" i="3" s="1"/>
  <c r="Y52" i="3"/>
  <c r="Z35" i="1"/>
  <c r="Z11" i="3" s="1"/>
  <c r="AK11" i="3"/>
  <c r="AL11" i="3" s="1"/>
  <c r="Y11" i="3"/>
  <c r="Z36" i="1"/>
  <c r="Z12" i="3" s="1"/>
  <c r="AK12" i="3"/>
  <c r="AL12" i="3" s="1"/>
  <c r="Y12" i="3"/>
  <c r="AK79" i="3"/>
  <c r="AL79" i="3" s="1"/>
  <c r="Y79" i="3"/>
  <c r="AK112" i="3"/>
  <c r="AL112" i="3" s="1"/>
  <c r="Y112" i="3"/>
  <c r="Z55" i="1"/>
  <c r="Z31" i="3" s="1"/>
  <c r="AK31" i="3"/>
  <c r="AL31" i="3" s="1"/>
  <c r="Y31" i="3"/>
  <c r="Z57" i="1"/>
  <c r="Z33" i="3" s="1"/>
  <c r="AK33" i="3"/>
  <c r="AL33" i="3" s="1"/>
  <c r="Y33" i="3"/>
  <c r="AK70" i="3"/>
  <c r="AL70" i="3" s="1"/>
  <c r="Y70" i="3"/>
  <c r="R35" i="3"/>
  <c r="V59" i="1"/>
  <c r="R43" i="3"/>
  <c r="V67" i="1"/>
  <c r="AK51" i="3"/>
  <c r="AL51" i="3" s="1"/>
  <c r="Y51" i="3"/>
  <c r="AK97" i="3"/>
  <c r="AL97" i="3" s="1"/>
  <c r="Y97" i="3"/>
  <c r="R46" i="3"/>
  <c r="V70" i="1"/>
  <c r="AK68" i="3"/>
  <c r="AL68" i="3" s="1"/>
  <c r="Y68" i="3"/>
  <c r="AK58" i="3"/>
  <c r="AL58" i="3" s="1"/>
  <c r="Y58" i="3"/>
  <c r="R38" i="3"/>
  <c r="V62" i="1"/>
  <c r="AK75" i="3"/>
  <c r="AL75" i="3" s="1"/>
  <c r="Y75" i="3"/>
  <c r="R47" i="3"/>
  <c r="V71" i="1"/>
  <c r="AK78" i="3"/>
  <c r="AL78" i="3" s="1"/>
  <c r="Y78" i="3"/>
  <c r="AK54" i="3"/>
  <c r="AL54" i="3" s="1"/>
  <c r="Y54" i="3"/>
  <c r="AK111" i="3"/>
  <c r="AL111" i="3" s="1"/>
  <c r="Y111" i="3"/>
  <c r="Z82" i="1"/>
  <c r="Z58" i="3" s="1"/>
  <c r="AK71" i="3"/>
  <c r="AL71" i="3" s="1"/>
  <c r="Y71" i="3"/>
  <c r="AK77" i="3"/>
  <c r="AL77" i="3" s="1"/>
  <c r="Y77" i="3"/>
  <c r="AK45" i="3"/>
  <c r="AL45" i="3" s="1"/>
  <c r="Y45" i="3"/>
  <c r="Z102" i="1"/>
  <c r="Z78" i="3" s="1"/>
  <c r="R36" i="3"/>
  <c r="V60" i="1"/>
  <c r="AK55" i="3"/>
  <c r="AL55" i="3" s="1"/>
  <c r="Y55" i="3"/>
  <c r="AK59" i="3"/>
  <c r="AL59" i="3" s="1"/>
  <c r="Y59" i="3"/>
  <c r="AK56" i="3"/>
  <c r="AL56" i="3" s="1"/>
  <c r="Y56" i="3"/>
  <c r="AK86" i="3"/>
  <c r="AL86" i="3" s="1"/>
  <c r="Y86" i="3"/>
  <c r="AK72" i="3"/>
  <c r="AL72" i="3" s="1"/>
  <c r="Y72" i="3"/>
  <c r="AK76" i="3"/>
  <c r="AL76" i="3" s="1"/>
  <c r="Y76" i="3"/>
  <c r="R42" i="3"/>
  <c r="V66" i="1"/>
  <c r="Z121" i="1"/>
  <c r="Z97" i="3" s="1"/>
  <c r="Z76" i="1"/>
  <c r="Z52" i="3" s="1"/>
  <c r="Z94" i="1"/>
  <c r="Z70" i="3" s="1"/>
  <c r="AK41" i="3"/>
  <c r="AL41" i="3" s="1"/>
  <c r="Y41" i="3"/>
  <c r="Z96" i="1"/>
  <c r="Z72" i="3" s="1"/>
  <c r="AK61" i="3"/>
  <c r="AL61" i="3" s="1"/>
  <c r="Y61" i="3"/>
  <c r="AK66" i="3"/>
  <c r="AL66" i="3" s="1"/>
  <c r="Y66" i="3"/>
  <c r="AK63" i="3"/>
  <c r="AL63" i="3" s="1"/>
  <c r="Y63" i="3"/>
  <c r="AK60" i="3"/>
  <c r="AL60" i="3" s="1"/>
  <c r="Y60" i="3"/>
  <c r="Z64" i="1"/>
  <c r="Z40" i="3" s="1"/>
  <c r="AK40" i="3"/>
  <c r="AL40" i="3" s="1"/>
  <c r="Y40" i="3"/>
  <c r="R39" i="3"/>
  <c r="V63" i="1"/>
  <c r="R44" i="3"/>
  <c r="V68" i="1"/>
  <c r="Z56" i="1"/>
  <c r="Z32" i="3" s="1"/>
  <c r="AK32" i="3"/>
  <c r="AL32" i="3" s="1"/>
  <c r="Y32" i="3"/>
  <c r="AK48" i="3"/>
  <c r="AL48" i="3" s="1"/>
  <c r="Y48" i="3"/>
  <c r="Z58" i="1"/>
  <c r="Z34" i="3" s="1"/>
  <c r="AK34" i="3"/>
  <c r="AL34" i="3" s="1"/>
  <c r="Y34" i="3"/>
  <c r="AK113" i="3"/>
  <c r="AL113" i="3" s="1"/>
  <c r="Y113" i="3"/>
  <c r="AK57" i="3"/>
  <c r="AL57" i="3" s="1"/>
  <c r="Y57" i="3"/>
  <c r="AK53" i="3"/>
  <c r="AL53" i="3" s="1"/>
  <c r="Y53" i="3"/>
  <c r="AK73" i="3"/>
  <c r="AL73" i="3" s="1"/>
  <c r="Y73" i="3"/>
  <c r="F33" i="1"/>
  <c r="F9" i="3" s="1"/>
  <c r="F34" i="1"/>
  <c r="F10" i="3" s="1"/>
  <c r="H33" i="1"/>
  <c r="H9" i="3" s="1"/>
  <c r="H34" i="1"/>
  <c r="H10" i="3" s="1"/>
  <c r="J33" i="1"/>
  <c r="J9" i="3" s="1"/>
  <c r="J34" i="1"/>
  <c r="J10" i="3" s="1"/>
  <c r="L33" i="1"/>
  <c r="L9" i="3" s="1"/>
  <c r="L34" i="1"/>
  <c r="L10" i="3" s="1"/>
  <c r="N33" i="1"/>
  <c r="N9" i="3" s="1"/>
  <c r="N34" i="1"/>
  <c r="N10" i="3" s="1"/>
  <c r="P33" i="1"/>
  <c r="P9" i="3" s="1"/>
  <c r="P34" i="1"/>
  <c r="P10" i="3" s="1"/>
  <c r="R33" i="1"/>
  <c r="R34" i="1"/>
  <c r="R32" i="1"/>
  <c r="P32" i="1"/>
  <c r="P8" i="3" s="1"/>
  <c r="N32" i="1"/>
  <c r="N8" i="3" s="1"/>
  <c r="L32" i="1"/>
  <c r="L8" i="3" s="1"/>
  <c r="J32" i="1"/>
  <c r="J8" i="3" s="1"/>
  <c r="H32" i="1"/>
  <c r="H8" i="3" s="1"/>
  <c r="F32" i="1"/>
  <c r="F8" i="3" s="1"/>
  <c r="R31" i="1"/>
  <c r="P31" i="1"/>
  <c r="P7" i="3" s="1"/>
  <c r="N31" i="1"/>
  <c r="N7" i="3" s="1"/>
  <c r="L31" i="1"/>
  <c r="L7" i="3" s="1"/>
  <c r="J31" i="1"/>
  <c r="J7" i="3" s="1"/>
  <c r="H31" i="1"/>
  <c r="H7" i="3" s="1"/>
  <c r="F31" i="1"/>
  <c r="F7" i="3" s="1"/>
  <c r="J30" i="1"/>
  <c r="J6" i="3" s="1"/>
  <c r="R30" i="1"/>
  <c r="P30" i="1"/>
  <c r="P6" i="3" s="1"/>
  <c r="N30" i="1"/>
  <c r="N6" i="3" s="1"/>
  <c r="L30" i="1"/>
  <c r="L6" i="3" s="1"/>
  <c r="H30" i="1"/>
  <c r="H6" i="3" s="1"/>
  <c r="F30" i="1"/>
  <c r="F6" i="3" s="1"/>
  <c r="R29" i="1"/>
  <c r="P29" i="1"/>
  <c r="P5" i="3" s="1"/>
  <c r="N29" i="1"/>
  <c r="N5" i="3" s="1"/>
  <c r="L29" i="1"/>
  <c r="L5" i="3" s="1"/>
  <c r="J29" i="1"/>
  <c r="J5" i="3" s="1"/>
  <c r="H29" i="1"/>
  <c r="H5" i="3" s="1"/>
  <c r="F29" i="1"/>
  <c r="F5" i="3" s="1"/>
  <c r="R28" i="1"/>
  <c r="P28" i="1"/>
  <c r="P4" i="3" s="1"/>
  <c r="N28" i="1"/>
  <c r="N4" i="3" s="1"/>
  <c r="L28" i="1"/>
  <c r="L4" i="3" s="1"/>
  <c r="J28" i="1"/>
  <c r="J4" i="3" s="1"/>
  <c r="H28" i="1"/>
  <c r="H4" i="3" s="1"/>
  <c r="F28" i="1"/>
  <c r="F4" i="3" s="1"/>
  <c r="V44" i="3" l="1"/>
  <c r="W68" i="1"/>
  <c r="W44" i="3" s="1"/>
  <c r="V46" i="3"/>
  <c r="W70" i="1"/>
  <c r="W46" i="3" s="1"/>
  <c r="V36" i="3"/>
  <c r="W60" i="1"/>
  <c r="W36" i="3" s="1"/>
  <c r="V47" i="3"/>
  <c r="W71" i="1"/>
  <c r="W47" i="3" s="1"/>
  <c r="R6" i="3"/>
  <c r="V30" i="1"/>
  <c r="R8" i="3"/>
  <c r="V32" i="1"/>
  <c r="R10" i="3"/>
  <c r="V34" i="1"/>
  <c r="R4" i="3"/>
  <c r="V28" i="1"/>
  <c r="R9" i="3"/>
  <c r="V33" i="1"/>
  <c r="V38" i="3"/>
  <c r="W62" i="1"/>
  <c r="W38" i="3" s="1"/>
  <c r="V43" i="3"/>
  <c r="W67" i="1"/>
  <c r="W43" i="3" s="1"/>
  <c r="V39" i="3"/>
  <c r="W63" i="1"/>
  <c r="W39" i="3" s="1"/>
  <c r="R5" i="3"/>
  <c r="V29" i="1"/>
  <c r="V42" i="3"/>
  <c r="W66" i="1"/>
  <c r="W42" i="3" s="1"/>
  <c r="V35" i="3"/>
  <c r="W59" i="1"/>
  <c r="W35" i="3" s="1"/>
  <c r="V37" i="3"/>
  <c r="W61" i="1"/>
  <c r="W37" i="3" s="1"/>
  <c r="R7" i="3"/>
  <c r="V31" i="1"/>
  <c r="G33" i="1"/>
  <c r="G9" i="3" s="1"/>
  <c r="AB9" i="3" s="1"/>
  <c r="G30" i="1"/>
  <c r="G6" i="3" s="1"/>
  <c r="AB6" i="3" s="1"/>
  <c r="G38" i="1"/>
  <c r="G14" i="3" s="1"/>
  <c r="AB14" i="3" s="1"/>
  <c r="H38" i="1"/>
  <c r="H14" i="3" s="1"/>
  <c r="I38" i="1"/>
  <c r="I14" i="3" s="1"/>
  <c r="AC14" i="3" s="1"/>
  <c r="J38" i="1"/>
  <c r="J14" i="3" s="1"/>
  <c r="K38" i="1"/>
  <c r="K14" i="3" s="1"/>
  <c r="AD14" i="3" s="1"/>
  <c r="L38" i="1"/>
  <c r="L14" i="3" s="1"/>
  <c r="M38" i="1"/>
  <c r="M14" i="3" s="1"/>
  <c r="AE14" i="3" s="1"/>
  <c r="N38" i="1"/>
  <c r="N14" i="3" s="1"/>
  <c r="O38" i="1"/>
  <c r="O14" i="3" s="1"/>
  <c r="AF14" i="3" s="1"/>
  <c r="P38" i="1"/>
  <c r="P14" i="3" s="1"/>
  <c r="Q38" i="1"/>
  <c r="Q14" i="3" s="1"/>
  <c r="AG14" i="3" s="1"/>
  <c r="R38" i="1"/>
  <c r="S38" i="1"/>
  <c r="S14" i="3" s="1"/>
  <c r="AH14" i="3" s="1"/>
  <c r="G39" i="1"/>
  <c r="G15" i="3" s="1"/>
  <c r="AB15" i="3" s="1"/>
  <c r="H39" i="1"/>
  <c r="H15" i="3" s="1"/>
  <c r="I39" i="1"/>
  <c r="I15" i="3" s="1"/>
  <c r="AC15" i="3" s="1"/>
  <c r="J39" i="1"/>
  <c r="J15" i="3" s="1"/>
  <c r="K39" i="1"/>
  <c r="K15" i="3" s="1"/>
  <c r="AD15" i="3" s="1"/>
  <c r="L39" i="1"/>
  <c r="L15" i="3" s="1"/>
  <c r="M39" i="1"/>
  <c r="M15" i="3" s="1"/>
  <c r="AE15" i="3" s="1"/>
  <c r="N39" i="1"/>
  <c r="N15" i="3" s="1"/>
  <c r="O39" i="1"/>
  <c r="O15" i="3" s="1"/>
  <c r="AF15" i="3" s="1"/>
  <c r="P39" i="1"/>
  <c r="P15" i="3" s="1"/>
  <c r="Q39" i="1"/>
  <c r="Q15" i="3" s="1"/>
  <c r="AG15" i="3" s="1"/>
  <c r="R39" i="1"/>
  <c r="S39" i="1"/>
  <c r="S15" i="3" s="1"/>
  <c r="AH15" i="3" s="1"/>
  <c r="G40" i="1"/>
  <c r="G16" i="3" s="1"/>
  <c r="AB16" i="3" s="1"/>
  <c r="H40" i="1"/>
  <c r="H16" i="3" s="1"/>
  <c r="I40" i="1"/>
  <c r="I16" i="3" s="1"/>
  <c r="AC16" i="3" s="1"/>
  <c r="J40" i="1"/>
  <c r="J16" i="3" s="1"/>
  <c r="K40" i="1"/>
  <c r="K16" i="3" s="1"/>
  <c r="AD16" i="3" s="1"/>
  <c r="L40" i="1"/>
  <c r="L16" i="3" s="1"/>
  <c r="M40" i="1"/>
  <c r="M16" i="3" s="1"/>
  <c r="AE16" i="3" s="1"/>
  <c r="N40" i="1"/>
  <c r="N16" i="3" s="1"/>
  <c r="O40" i="1"/>
  <c r="O16" i="3" s="1"/>
  <c r="AF16" i="3" s="1"/>
  <c r="P40" i="1"/>
  <c r="P16" i="3" s="1"/>
  <c r="Q40" i="1"/>
  <c r="Q16" i="3" s="1"/>
  <c r="AG16" i="3" s="1"/>
  <c r="R40" i="1"/>
  <c r="S40" i="1"/>
  <c r="S16" i="3" s="1"/>
  <c r="AH16" i="3" s="1"/>
  <c r="G41" i="1"/>
  <c r="G17" i="3" s="1"/>
  <c r="AB17" i="3" s="1"/>
  <c r="H41" i="1"/>
  <c r="H17" i="3" s="1"/>
  <c r="I41" i="1"/>
  <c r="I17" i="3" s="1"/>
  <c r="AC17" i="3" s="1"/>
  <c r="J41" i="1"/>
  <c r="J17" i="3" s="1"/>
  <c r="K41" i="1"/>
  <c r="K17" i="3" s="1"/>
  <c r="AD17" i="3" s="1"/>
  <c r="L41" i="1"/>
  <c r="L17" i="3" s="1"/>
  <c r="M41" i="1"/>
  <c r="M17" i="3" s="1"/>
  <c r="AE17" i="3" s="1"/>
  <c r="N41" i="1"/>
  <c r="N17" i="3" s="1"/>
  <c r="O41" i="1"/>
  <c r="O17" i="3" s="1"/>
  <c r="AF17" i="3" s="1"/>
  <c r="P41" i="1"/>
  <c r="P17" i="3" s="1"/>
  <c r="Q41" i="1"/>
  <c r="Q17" i="3" s="1"/>
  <c r="AG17" i="3" s="1"/>
  <c r="R41" i="1"/>
  <c r="S41" i="1"/>
  <c r="S17" i="3" s="1"/>
  <c r="AH17" i="3" s="1"/>
  <c r="G42" i="1"/>
  <c r="G18" i="3" s="1"/>
  <c r="AB18" i="3" s="1"/>
  <c r="H42" i="1"/>
  <c r="H18" i="3" s="1"/>
  <c r="I42" i="1"/>
  <c r="I18" i="3" s="1"/>
  <c r="AC18" i="3" s="1"/>
  <c r="J42" i="1"/>
  <c r="J18" i="3" s="1"/>
  <c r="K42" i="1"/>
  <c r="K18" i="3" s="1"/>
  <c r="AD18" i="3" s="1"/>
  <c r="L42" i="1"/>
  <c r="L18" i="3" s="1"/>
  <c r="M42" i="1"/>
  <c r="M18" i="3" s="1"/>
  <c r="AE18" i="3" s="1"/>
  <c r="N42" i="1"/>
  <c r="N18" i="3" s="1"/>
  <c r="O42" i="1"/>
  <c r="O18" i="3" s="1"/>
  <c r="AF18" i="3" s="1"/>
  <c r="P42" i="1"/>
  <c r="P18" i="3" s="1"/>
  <c r="Q42" i="1"/>
  <c r="Q18" i="3" s="1"/>
  <c r="AG18" i="3" s="1"/>
  <c r="R42" i="1"/>
  <c r="S42" i="1"/>
  <c r="S18" i="3" s="1"/>
  <c r="AH18" i="3" s="1"/>
  <c r="G43" i="1"/>
  <c r="G19" i="3" s="1"/>
  <c r="AB19" i="3" s="1"/>
  <c r="H43" i="1"/>
  <c r="H19" i="3" s="1"/>
  <c r="I43" i="1"/>
  <c r="I19" i="3" s="1"/>
  <c r="AC19" i="3" s="1"/>
  <c r="J43" i="1"/>
  <c r="J19" i="3" s="1"/>
  <c r="K43" i="1"/>
  <c r="K19" i="3" s="1"/>
  <c r="AD19" i="3" s="1"/>
  <c r="L43" i="1"/>
  <c r="L19" i="3" s="1"/>
  <c r="M43" i="1"/>
  <c r="M19" i="3" s="1"/>
  <c r="AE19" i="3" s="1"/>
  <c r="N43" i="1"/>
  <c r="N19" i="3" s="1"/>
  <c r="O43" i="1"/>
  <c r="O19" i="3" s="1"/>
  <c r="AF19" i="3" s="1"/>
  <c r="P43" i="1"/>
  <c r="P19" i="3" s="1"/>
  <c r="Q43" i="1"/>
  <c r="Q19" i="3" s="1"/>
  <c r="AG19" i="3" s="1"/>
  <c r="R43" i="1"/>
  <c r="S43" i="1"/>
  <c r="S19" i="3" s="1"/>
  <c r="AH19" i="3" s="1"/>
  <c r="G44" i="1"/>
  <c r="G20" i="3" s="1"/>
  <c r="AB20" i="3" s="1"/>
  <c r="H44" i="1"/>
  <c r="H20" i="3" s="1"/>
  <c r="I44" i="1"/>
  <c r="I20" i="3" s="1"/>
  <c r="AC20" i="3" s="1"/>
  <c r="J44" i="1"/>
  <c r="J20" i="3" s="1"/>
  <c r="K44" i="1"/>
  <c r="K20" i="3" s="1"/>
  <c r="AD20" i="3" s="1"/>
  <c r="L44" i="1"/>
  <c r="L20" i="3" s="1"/>
  <c r="M44" i="1"/>
  <c r="M20" i="3" s="1"/>
  <c r="AE20" i="3" s="1"/>
  <c r="N44" i="1"/>
  <c r="N20" i="3" s="1"/>
  <c r="O44" i="1"/>
  <c r="O20" i="3" s="1"/>
  <c r="AF20" i="3" s="1"/>
  <c r="P44" i="1"/>
  <c r="P20" i="3" s="1"/>
  <c r="Q44" i="1"/>
  <c r="Q20" i="3" s="1"/>
  <c r="AG20" i="3" s="1"/>
  <c r="R44" i="1"/>
  <c r="S44" i="1"/>
  <c r="S20" i="3" s="1"/>
  <c r="AH20" i="3" s="1"/>
  <c r="G45" i="1"/>
  <c r="G21" i="3" s="1"/>
  <c r="AB21" i="3" s="1"/>
  <c r="H45" i="1"/>
  <c r="H21" i="3" s="1"/>
  <c r="I45" i="1"/>
  <c r="I21" i="3" s="1"/>
  <c r="AC21" i="3" s="1"/>
  <c r="J45" i="1"/>
  <c r="J21" i="3" s="1"/>
  <c r="K45" i="1"/>
  <c r="K21" i="3" s="1"/>
  <c r="AD21" i="3" s="1"/>
  <c r="L45" i="1"/>
  <c r="L21" i="3" s="1"/>
  <c r="M45" i="1"/>
  <c r="M21" i="3" s="1"/>
  <c r="AE21" i="3" s="1"/>
  <c r="N45" i="1"/>
  <c r="N21" i="3" s="1"/>
  <c r="O45" i="1"/>
  <c r="O21" i="3" s="1"/>
  <c r="AF21" i="3" s="1"/>
  <c r="P45" i="1"/>
  <c r="P21" i="3" s="1"/>
  <c r="Q45" i="1"/>
  <c r="Q21" i="3" s="1"/>
  <c r="AG21" i="3" s="1"/>
  <c r="R45" i="1"/>
  <c r="S45" i="1"/>
  <c r="S21" i="3" s="1"/>
  <c r="AH21" i="3" s="1"/>
  <c r="G46" i="1"/>
  <c r="G22" i="3" s="1"/>
  <c r="AB22" i="3" s="1"/>
  <c r="H46" i="1"/>
  <c r="H22" i="3" s="1"/>
  <c r="I46" i="1"/>
  <c r="I22" i="3" s="1"/>
  <c r="AC22" i="3" s="1"/>
  <c r="J46" i="1"/>
  <c r="J22" i="3" s="1"/>
  <c r="K46" i="1"/>
  <c r="K22" i="3" s="1"/>
  <c r="AD22" i="3" s="1"/>
  <c r="L46" i="1"/>
  <c r="L22" i="3" s="1"/>
  <c r="M46" i="1"/>
  <c r="M22" i="3" s="1"/>
  <c r="AE22" i="3" s="1"/>
  <c r="N46" i="1"/>
  <c r="N22" i="3" s="1"/>
  <c r="O46" i="1"/>
  <c r="O22" i="3" s="1"/>
  <c r="AF22" i="3" s="1"/>
  <c r="P46" i="1"/>
  <c r="P22" i="3" s="1"/>
  <c r="Q46" i="1"/>
  <c r="Q22" i="3" s="1"/>
  <c r="AG22" i="3" s="1"/>
  <c r="R46" i="1"/>
  <c r="S46" i="1"/>
  <c r="S22" i="3" s="1"/>
  <c r="AH22" i="3" s="1"/>
  <c r="G47" i="1"/>
  <c r="G23" i="3" s="1"/>
  <c r="AB23" i="3" s="1"/>
  <c r="H47" i="1"/>
  <c r="H23" i="3" s="1"/>
  <c r="I47" i="1"/>
  <c r="I23" i="3" s="1"/>
  <c r="AC23" i="3" s="1"/>
  <c r="J47" i="1"/>
  <c r="J23" i="3" s="1"/>
  <c r="K47" i="1"/>
  <c r="K23" i="3" s="1"/>
  <c r="AD23" i="3" s="1"/>
  <c r="L47" i="1"/>
  <c r="L23" i="3" s="1"/>
  <c r="M47" i="1"/>
  <c r="M23" i="3" s="1"/>
  <c r="AE23" i="3" s="1"/>
  <c r="N47" i="1"/>
  <c r="N23" i="3" s="1"/>
  <c r="O47" i="1"/>
  <c r="O23" i="3" s="1"/>
  <c r="AF23" i="3" s="1"/>
  <c r="P47" i="1"/>
  <c r="P23" i="3" s="1"/>
  <c r="Q47" i="1"/>
  <c r="Q23" i="3" s="1"/>
  <c r="AG23" i="3" s="1"/>
  <c r="R47" i="1"/>
  <c r="S47" i="1"/>
  <c r="S23" i="3" s="1"/>
  <c r="AH23" i="3" s="1"/>
  <c r="G48" i="1"/>
  <c r="G24" i="3" s="1"/>
  <c r="AB24" i="3" s="1"/>
  <c r="H48" i="1"/>
  <c r="H24" i="3" s="1"/>
  <c r="I48" i="1"/>
  <c r="I24" i="3" s="1"/>
  <c r="AC24" i="3" s="1"/>
  <c r="J48" i="1"/>
  <c r="J24" i="3" s="1"/>
  <c r="K48" i="1"/>
  <c r="K24" i="3" s="1"/>
  <c r="AD24" i="3" s="1"/>
  <c r="L48" i="1"/>
  <c r="L24" i="3" s="1"/>
  <c r="M48" i="1"/>
  <c r="M24" i="3" s="1"/>
  <c r="AE24" i="3" s="1"/>
  <c r="N48" i="1"/>
  <c r="N24" i="3" s="1"/>
  <c r="O48" i="1"/>
  <c r="O24" i="3" s="1"/>
  <c r="AF24" i="3" s="1"/>
  <c r="P48" i="1"/>
  <c r="P24" i="3" s="1"/>
  <c r="Q48" i="1"/>
  <c r="Q24" i="3" s="1"/>
  <c r="AG24" i="3" s="1"/>
  <c r="R48" i="1"/>
  <c r="S48" i="1"/>
  <c r="S24" i="3" s="1"/>
  <c r="AH24" i="3" s="1"/>
  <c r="G49" i="1"/>
  <c r="G25" i="3" s="1"/>
  <c r="AB25" i="3" s="1"/>
  <c r="H49" i="1"/>
  <c r="H25" i="3" s="1"/>
  <c r="I49" i="1"/>
  <c r="I25" i="3" s="1"/>
  <c r="AC25" i="3" s="1"/>
  <c r="J49" i="1"/>
  <c r="J25" i="3" s="1"/>
  <c r="K49" i="1"/>
  <c r="K25" i="3" s="1"/>
  <c r="AD25" i="3" s="1"/>
  <c r="L49" i="1"/>
  <c r="L25" i="3" s="1"/>
  <c r="M49" i="1"/>
  <c r="M25" i="3" s="1"/>
  <c r="AE25" i="3" s="1"/>
  <c r="N49" i="1"/>
  <c r="N25" i="3" s="1"/>
  <c r="O49" i="1"/>
  <c r="O25" i="3" s="1"/>
  <c r="AF25" i="3" s="1"/>
  <c r="P49" i="1"/>
  <c r="P25" i="3" s="1"/>
  <c r="Q49" i="1"/>
  <c r="Q25" i="3" s="1"/>
  <c r="AG25" i="3" s="1"/>
  <c r="R49" i="1"/>
  <c r="S49" i="1"/>
  <c r="S25" i="3" s="1"/>
  <c r="AH25" i="3" s="1"/>
  <c r="G50" i="1"/>
  <c r="G26" i="3" s="1"/>
  <c r="AB26" i="3" s="1"/>
  <c r="H50" i="1"/>
  <c r="H26" i="3" s="1"/>
  <c r="I50" i="1"/>
  <c r="I26" i="3" s="1"/>
  <c r="AC26" i="3" s="1"/>
  <c r="J50" i="1"/>
  <c r="J26" i="3" s="1"/>
  <c r="K50" i="1"/>
  <c r="K26" i="3" s="1"/>
  <c r="AD26" i="3" s="1"/>
  <c r="L50" i="1"/>
  <c r="L26" i="3" s="1"/>
  <c r="M50" i="1"/>
  <c r="M26" i="3" s="1"/>
  <c r="AE26" i="3" s="1"/>
  <c r="N50" i="1"/>
  <c r="N26" i="3" s="1"/>
  <c r="O50" i="1"/>
  <c r="O26" i="3" s="1"/>
  <c r="AF26" i="3" s="1"/>
  <c r="P50" i="1"/>
  <c r="P26" i="3" s="1"/>
  <c r="Q50" i="1"/>
  <c r="Q26" i="3" s="1"/>
  <c r="AG26" i="3" s="1"/>
  <c r="R50" i="1"/>
  <c r="S50" i="1"/>
  <c r="S26" i="3" s="1"/>
  <c r="AH26" i="3" s="1"/>
  <c r="G51" i="1"/>
  <c r="G27" i="3" s="1"/>
  <c r="AB27" i="3" s="1"/>
  <c r="H51" i="1"/>
  <c r="H27" i="3" s="1"/>
  <c r="I51" i="1"/>
  <c r="I27" i="3" s="1"/>
  <c r="AC27" i="3" s="1"/>
  <c r="J51" i="1"/>
  <c r="J27" i="3" s="1"/>
  <c r="K51" i="1"/>
  <c r="K27" i="3" s="1"/>
  <c r="AD27" i="3" s="1"/>
  <c r="L51" i="1"/>
  <c r="L27" i="3" s="1"/>
  <c r="M51" i="1"/>
  <c r="M27" i="3" s="1"/>
  <c r="AE27" i="3" s="1"/>
  <c r="N51" i="1"/>
  <c r="N27" i="3" s="1"/>
  <c r="O51" i="1"/>
  <c r="O27" i="3" s="1"/>
  <c r="AF27" i="3" s="1"/>
  <c r="P51" i="1"/>
  <c r="P27" i="3" s="1"/>
  <c r="Q51" i="1"/>
  <c r="Q27" i="3" s="1"/>
  <c r="AG27" i="3" s="1"/>
  <c r="R51" i="1"/>
  <c r="S51" i="1"/>
  <c r="S27" i="3" s="1"/>
  <c r="AH27" i="3" s="1"/>
  <c r="G52" i="1"/>
  <c r="G28" i="3" s="1"/>
  <c r="AB28" i="3" s="1"/>
  <c r="H52" i="1"/>
  <c r="H28" i="3" s="1"/>
  <c r="I52" i="1"/>
  <c r="I28" i="3" s="1"/>
  <c r="AC28" i="3" s="1"/>
  <c r="J52" i="1"/>
  <c r="J28" i="3" s="1"/>
  <c r="K52" i="1"/>
  <c r="K28" i="3" s="1"/>
  <c r="AD28" i="3" s="1"/>
  <c r="L52" i="1"/>
  <c r="L28" i="3" s="1"/>
  <c r="M52" i="1"/>
  <c r="M28" i="3" s="1"/>
  <c r="AE28" i="3" s="1"/>
  <c r="N52" i="1"/>
  <c r="N28" i="3" s="1"/>
  <c r="O52" i="1"/>
  <c r="O28" i="3" s="1"/>
  <c r="AF28" i="3" s="1"/>
  <c r="P52" i="1"/>
  <c r="P28" i="3" s="1"/>
  <c r="Q52" i="1"/>
  <c r="Q28" i="3" s="1"/>
  <c r="AG28" i="3" s="1"/>
  <c r="R52" i="1"/>
  <c r="S52" i="1"/>
  <c r="S28" i="3" s="1"/>
  <c r="AH28" i="3" s="1"/>
  <c r="G53" i="1"/>
  <c r="G29" i="3" s="1"/>
  <c r="AB29" i="3" s="1"/>
  <c r="H53" i="1"/>
  <c r="H29" i="3" s="1"/>
  <c r="I53" i="1"/>
  <c r="I29" i="3" s="1"/>
  <c r="AC29" i="3" s="1"/>
  <c r="J53" i="1"/>
  <c r="J29" i="3" s="1"/>
  <c r="K53" i="1"/>
  <c r="K29" i="3" s="1"/>
  <c r="AD29" i="3" s="1"/>
  <c r="L53" i="1"/>
  <c r="L29" i="3" s="1"/>
  <c r="M53" i="1"/>
  <c r="M29" i="3" s="1"/>
  <c r="AE29" i="3" s="1"/>
  <c r="N53" i="1"/>
  <c r="N29" i="3" s="1"/>
  <c r="O53" i="1"/>
  <c r="O29" i="3" s="1"/>
  <c r="AF29" i="3" s="1"/>
  <c r="AJ29" i="3" s="1"/>
  <c r="P53" i="1"/>
  <c r="P29" i="3" s="1"/>
  <c r="Q53" i="1"/>
  <c r="Q29" i="3" s="1"/>
  <c r="AG29" i="3" s="1"/>
  <c r="R53" i="1"/>
  <c r="S53" i="1"/>
  <c r="S29" i="3" s="1"/>
  <c r="AH29" i="3" s="1"/>
  <c r="G54" i="1"/>
  <c r="G30" i="3" s="1"/>
  <c r="AB30" i="3" s="1"/>
  <c r="H54" i="1"/>
  <c r="H30" i="3" s="1"/>
  <c r="I54" i="1"/>
  <c r="I30" i="3" s="1"/>
  <c r="AC30" i="3" s="1"/>
  <c r="J54" i="1"/>
  <c r="J30" i="3" s="1"/>
  <c r="K54" i="1"/>
  <c r="K30" i="3" s="1"/>
  <c r="AD30" i="3" s="1"/>
  <c r="L54" i="1"/>
  <c r="L30" i="3" s="1"/>
  <c r="M54" i="1"/>
  <c r="M30" i="3" s="1"/>
  <c r="AE30" i="3" s="1"/>
  <c r="N54" i="1"/>
  <c r="N30" i="3" s="1"/>
  <c r="O54" i="1"/>
  <c r="O30" i="3" s="1"/>
  <c r="AF30" i="3" s="1"/>
  <c r="P54" i="1"/>
  <c r="P30" i="3" s="1"/>
  <c r="Q54" i="1"/>
  <c r="Q30" i="3" s="1"/>
  <c r="AG30" i="3" s="1"/>
  <c r="R54" i="1"/>
  <c r="S54" i="1"/>
  <c r="S30" i="3" s="1"/>
  <c r="AH30" i="3" s="1"/>
  <c r="G37" i="1"/>
  <c r="G13" i="3" s="1"/>
  <c r="AB13" i="3" s="1"/>
  <c r="H37" i="1"/>
  <c r="H13" i="3" s="1"/>
  <c r="I37" i="1"/>
  <c r="I13" i="3" s="1"/>
  <c r="AC13" i="3" s="1"/>
  <c r="J37" i="1"/>
  <c r="J13" i="3" s="1"/>
  <c r="K37" i="1"/>
  <c r="K13" i="3" s="1"/>
  <c r="AD13" i="3" s="1"/>
  <c r="L37" i="1"/>
  <c r="L13" i="3" s="1"/>
  <c r="M37" i="1"/>
  <c r="M13" i="3" s="1"/>
  <c r="AE13" i="3" s="1"/>
  <c r="N37" i="1"/>
  <c r="N13" i="3" s="1"/>
  <c r="O37" i="1"/>
  <c r="O13" i="3" s="1"/>
  <c r="AF13" i="3" s="1"/>
  <c r="P37" i="1"/>
  <c r="P13" i="3" s="1"/>
  <c r="Q37" i="1"/>
  <c r="Q13" i="3" s="1"/>
  <c r="AG13" i="3" s="1"/>
  <c r="R37" i="1"/>
  <c r="S37" i="1"/>
  <c r="S13" i="3" s="1"/>
  <c r="AH13" i="3" s="1"/>
  <c r="F38" i="1"/>
  <c r="F14" i="3" s="1"/>
  <c r="F39" i="1"/>
  <c r="F15" i="3" s="1"/>
  <c r="F40" i="1"/>
  <c r="F16" i="3" s="1"/>
  <c r="F41" i="1"/>
  <c r="F17" i="3" s="1"/>
  <c r="F42" i="1"/>
  <c r="F18" i="3" s="1"/>
  <c r="F43" i="1"/>
  <c r="F19" i="3" s="1"/>
  <c r="F44" i="1"/>
  <c r="F20" i="3" s="1"/>
  <c r="F45" i="1"/>
  <c r="F21" i="3" s="1"/>
  <c r="F46" i="1"/>
  <c r="F22" i="3" s="1"/>
  <c r="F47" i="1"/>
  <c r="F23" i="3" s="1"/>
  <c r="F48" i="1"/>
  <c r="F24" i="3" s="1"/>
  <c r="F49" i="1"/>
  <c r="F25" i="3" s="1"/>
  <c r="F50" i="1"/>
  <c r="F26" i="3" s="1"/>
  <c r="F51" i="1"/>
  <c r="F27" i="3" s="1"/>
  <c r="F52" i="1"/>
  <c r="F28" i="3" s="1"/>
  <c r="F53" i="1"/>
  <c r="F29" i="3" s="1"/>
  <c r="F54" i="1"/>
  <c r="F30" i="3" s="1"/>
  <c r="F37" i="1"/>
  <c r="F13" i="3" s="1"/>
  <c r="W27" i="1"/>
  <c r="AJ25" i="3" l="1"/>
  <c r="R25" i="3"/>
  <c r="V49" i="1"/>
  <c r="R24" i="3"/>
  <c r="V48" i="1"/>
  <c r="V7" i="3"/>
  <c r="W31" i="1"/>
  <c r="W7" i="3" s="1"/>
  <c r="V6" i="3"/>
  <c r="W30" i="1"/>
  <c r="W6" i="3" s="1"/>
  <c r="AJ30" i="3"/>
  <c r="R14" i="3"/>
  <c r="V38" i="1"/>
  <c r="R23" i="3"/>
  <c r="V47" i="1"/>
  <c r="AJ22" i="3"/>
  <c r="R22" i="3"/>
  <c r="V46" i="1"/>
  <c r="AJ21" i="3"/>
  <c r="AJ20" i="3"/>
  <c r="AJ13" i="3"/>
  <c r="AJ23" i="3"/>
  <c r="R20" i="3"/>
  <c r="V44" i="1"/>
  <c r="AJ19" i="3"/>
  <c r="V9" i="3"/>
  <c r="W33" i="1"/>
  <c r="W9" i="3" s="1"/>
  <c r="R26" i="3"/>
  <c r="V50" i="1"/>
  <c r="R21" i="3"/>
  <c r="V45" i="1"/>
  <c r="R13" i="3"/>
  <c r="V37" i="1"/>
  <c r="R19" i="3"/>
  <c r="V43" i="1"/>
  <c r="AJ18" i="3"/>
  <c r="R30" i="3"/>
  <c r="V54" i="1"/>
  <c r="R18" i="3"/>
  <c r="V42" i="1"/>
  <c r="AJ17" i="3"/>
  <c r="V4" i="3"/>
  <c r="W28" i="1"/>
  <c r="R29" i="3"/>
  <c r="V53" i="1"/>
  <c r="AJ28" i="3"/>
  <c r="AJ24" i="3"/>
  <c r="R17" i="3"/>
  <c r="V41" i="1"/>
  <c r="AJ16" i="3"/>
  <c r="R16" i="3"/>
  <c r="V40" i="1"/>
  <c r="AJ15" i="3"/>
  <c r="V5" i="3"/>
  <c r="W29" i="1"/>
  <c r="W5" i="3" s="1"/>
  <c r="V10" i="3"/>
  <c r="W34" i="1"/>
  <c r="W10" i="3" s="1"/>
  <c r="V8" i="3"/>
  <c r="W32" i="1"/>
  <c r="W8" i="3" s="1"/>
  <c r="R28" i="3"/>
  <c r="V52" i="1"/>
  <c r="AJ27" i="3"/>
  <c r="R27" i="3"/>
  <c r="V51" i="1"/>
  <c r="AJ26" i="3"/>
  <c r="R15" i="3"/>
  <c r="V39" i="1"/>
  <c r="AJ14" i="3"/>
  <c r="X44" i="1"/>
  <c r="X37" i="1"/>
  <c r="X49" i="1"/>
  <c r="X43" i="1"/>
  <c r="X38" i="1"/>
  <c r="X51" i="1"/>
  <c r="X45" i="1"/>
  <c r="X39" i="1"/>
  <c r="X50" i="1"/>
  <c r="X54" i="1"/>
  <c r="X48" i="1"/>
  <c r="X42" i="1"/>
  <c r="X53" i="1"/>
  <c r="X47" i="1"/>
  <c r="X41" i="1"/>
  <c r="X52" i="1"/>
  <c r="X46" i="1"/>
  <c r="X40" i="1"/>
  <c r="W25" i="1"/>
  <c r="W5" i="1" s="1"/>
  <c r="Y46" i="1" l="1"/>
  <c r="X22" i="3"/>
  <c r="Y47" i="1"/>
  <c r="X23" i="3"/>
  <c r="Y49" i="1"/>
  <c r="X25" i="3"/>
  <c r="Y48" i="1"/>
  <c r="X24" i="3"/>
  <c r="Y54" i="1"/>
  <c r="X30" i="3"/>
  <c r="Y38" i="1"/>
  <c r="X14" i="3"/>
  <c r="V17" i="3"/>
  <c r="W41" i="1"/>
  <c r="W17" i="3" s="1"/>
  <c r="Y43" i="1"/>
  <c r="X19" i="3"/>
  <c r="V20" i="3"/>
  <c r="W44" i="1"/>
  <c r="W20" i="3" s="1"/>
  <c r="Y37" i="1"/>
  <c r="X13" i="3"/>
  <c r="V29" i="3"/>
  <c r="W53" i="1"/>
  <c r="W29" i="3" s="1"/>
  <c r="V15" i="3"/>
  <c r="W39" i="1"/>
  <c r="W15" i="3" s="1"/>
  <c r="Y50" i="1"/>
  <c r="X26" i="3"/>
  <c r="V22" i="3"/>
  <c r="W46" i="1"/>
  <c r="W22" i="3" s="1"/>
  <c r="V24" i="3"/>
  <c r="W48" i="1"/>
  <c r="W24" i="3" s="1"/>
  <c r="V14" i="3"/>
  <c r="W38" i="1"/>
  <c r="W14" i="3" s="1"/>
  <c r="Y44" i="1"/>
  <c r="X20" i="3"/>
  <c r="Y42" i="1"/>
  <c r="X18" i="3"/>
  <c r="V21" i="3"/>
  <c r="W45" i="1"/>
  <c r="W21" i="3" s="1"/>
  <c r="Y39" i="1"/>
  <c r="X15" i="3"/>
  <c r="V27" i="3"/>
  <c r="W51" i="1"/>
  <c r="W27" i="3" s="1"/>
  <c r="V16" i="3"/>
  <c r="W40" i="1"/>
  <c r="W16" i="3" s="1"/>
  <c r="V18" i="3"/>
  <c r="W42" i="1"/>
  <c r="W18" i="3" s="1"/>
  <c r="V26" i="3"/>
  <c r="W50" i="1"/>
  <c r="W26" i="3" s="1"/>
  <c r="V19" i="3"/>
  <c r="W43" i="1"/>
  <c r="W19" i="3" s="1"/>
  <c r="Y53" i="1"/>
  <c r="X29" i="3"/>
  <c r="V13" i="3"/>
  <c r="W37" i="1"/>
  <c r="W13" i="3" s="1"/>
  <c r="Y45" i="1"/>
  <c r="X21" i="3"/>
  <c r="V25" i="3"/>
  <c r="W49" i="1"/>
  <c r="W25" i="3" s="1"/>
  <c r="V28" i="3"/>
  <c r="W52" i="1"/>
  <c r="W28" i="3" s="1"/>
  <c r="Y52" i="1"/>
  <c r="X28" i="3"/>
  <c r="Y41" i="1"/>
  <c r="X17" i="3"/>
  <c r="W4" i="3"/>
  <c r="Y40" i="1"/>
  <c r="X16" i="3"/>
  <c r="Y51" i="1"/>
  <c r="X27" i="3"/>
  <c r="V30" i="3"/>
  <c r="W54" i="1"/>
  <c r="W30" i="3" s="1"/>
  <c r="V23" i="3"/>
  <c r="W47" i="1"/>
  <c r="W23" i="3" s="1"/>
  <c r="F9" i="2"/>
  <c r="F8" i="2"/>
  <c r="F7" i="2"/>
  <c r="F6" i="2"/>
  <c r="F5" i="2"/>
  <c r="F4" i="2"/>
  <c r="F3" i="2"/>
  <c r="C9" i="2"/>
  <c r="C8" i="2"/>
  <c r="C7" i="2"/>
  <c r="C6" i="2"/>
  <c r="C5" i="2"/>
  <c r="C4" i="2"/>
  <c r="C3" i="2"/>
  <c r="B2" i="2"/>
  <c r="Z42" i="1" l="1"/>
  <c r="Z18" i="3" s="1"/>
  <c r="AK18" i="3"/>
  <c r="AL18" i="3" s="1"/>
  <c r="Y18" i="3"/>
  <c r="Z38" i="1"/>
  <c r="Z14" i="3" s="1"/>
  <c r="AK14" i="3"/>
  <c r="AL14" i="3" s="1"/>
  <c r="Y14" i="3"/>
  <c r="Z51" i="1"/>
  <c r="Z27" i="3" s="1"/>
  <c r="AK27" i="3"/>
  <c r="AL27" i="3" s="1"/>
  <c r="Y27" i="3"/>
  <c r="Z44" i="1"/>
  <c r="Z20" i="3" s="1"/>
  <c r="AK20" i="3"/>
  <c r="AL20" i="3" s="1"/>
  <c r="Y20" i="3"/>
  <c r="Z54" i="1"/>
  <c r="Z30" i="3" s="1"/>
  <c r="AK30" i="3"/>
  <c r="AL30" i="3" s="1"/>
  <c r="Y30" i="3"/>
  <c r="Z49" i="1"/>
  <c r="Z25" i="3" s="1"/>
  <c r="AK25" i="3"/>
  <c r="AL25" i="3" s="1"/>
  <c r="Y25" i="3"/>
  <c r="Z40" i="1"/>
  <c r="Z16" i="3" s="1"/>
  <c r="AK16" i="3"/>
  <c r="AL16" i="3" s="1"/>
  <c r="Y16" i="3"/>
  <c r="Z37" i="1"/>
  <c r="Z13" i="3" s="1"/>
  <c r="AK13" i="3"/>
  <c r="AL13" i="3" s="1"/>
  <c r="Y13" i="3"/>
  <c r="W140" i="1"/>
  <c r="Z48" i="1"/>
  <c r="Z24" i="3" s="1"/>
  <c r="AK24" i="3"/>
  <c r="AL24" i="3" s="1"/>
  <c r="Y24" i="3"/>
  <c r="Z41" i="1"/>
  <c r="Z17" i="3" s="1"/>
  <c r="AK17" i="3"/>
  <c r="AL17" i="3" s="1"/>
  <c r="Y17" i="3"/>
  <c r="Z53" i="1"/>
  <c r="Z29" i="3" s="1"/>
  <c r="AK29" i="3"/>
  <c r="AL29" i="3" s="1"/>
  <c r="Y29" i="3"/>
  <c r="Z39" i="1"/>
  <c r="Z15" i="3" s="1"/>
  <c r="AK15" i="3"/>
  <c r="AL15" i="3" s="1"/>
  <c r="Y15" i="3"/>
  <c r="Z43" i="1"/>
  <c r="Z19" i="3" s="1"/>
  <c r="AK19" i="3"/>
  <c r="AL19" i="3" s="1"/>
  <c r="Y19" i="3"/>
  <c r="Z47" i="1"/>
  <c r="Z23" i="3" s="1"/>
  <c r="AK23" i="3"/>
  <c r="AL23" i="3" s="1"/>
  <c r="Y23" i="3"/>
  <c r="Z45" i="1"/>
  <c r="Z21" i="3" s="1"/>
  <c r="AK21" i="3"/>
  <c r="AL21" i="3" s="1"/>
  <c r="Y21" i="3"/>
  <c r="Z52" i="1"/>
  <c r="Z28" i="3" s="1"/>
  <c r="AK28" i="3"/>
  <c r="AL28" i="3" s="1"/>
  <c r="Y28" i="3"/>
  <c r="Z50" i="1"/>
  <c r="Z26" i="3" s="1"/>
  <c r="AK26" i="3"/>
  <c r="AL26" i="3" s="1"/>
  <c r="Y26" i="3"/>
  <c r="Z46" i="1"/>
  <c r="Z22" i="3" s="1"/>
  <c r="AK22" i="3"/>
  <c r="AL22" i="3" s="1"/>
  <c r="Y22" i="3"/>
  <c r="C10" i="2"/>
  <c r="F10" i="2"/>
  <c r="E7" i="2"/>
  <c r="G7" i="2" s="1"/>
  <c r="W141" i="1" l="1"/>
  <c r="W116" i="3"/>
  <c r="F11" i="2"/>
  <c r="F12" i="2" s="1"/>
  <c r="E4" i="2"/>
  <c r="G4" i="2" s="1"/>
  <c r="W142" i="1" l="1"/>
  <c r="W117" i="3"/>
  <c r="E8" i="2"/>
  <c r="G8" i="2" s="1"/>
  <c r="W143" i="1" l="1"/>
  <c r="W118" i="3"/>
  <c r="E6" i="2"/>
  <c r="G6" i="2" s="1"/>
  <c r="W144" i="1" l="1"/>
  <c r="W119" i="3"/>
  <c r="E5" i="2"/>
  <c r="G5" i="2" s="1"/>
  <c r="W145" i="1" l="1"/>
  <c r="W120" i="3"/>
  <c r="E9" i="2"/>
  <c r="G9" i="2" s="1"/>
  <c r="W121" i="3" l="1"/>
  <c r="W146" i="1"/>
  <c r="B7" i="2"/>
  <c r="W4" i="1" l="1"/>
  <c r="W122" i="3"/>
  <c r="H7" i="2"/>
  <c r="D7" i="2"/>
  <c r="B4" i="2"/>
  <c r="H4" i="2" l="1"/>
  <c r="D4" i="2"/>
  <c r="B8" i="2"/>
  <c r="H8" i="2" l="1"/>
  <c r="D8" i="2"/>
  <c r="B6" i="2"/>
  <c r="H6" i="2" l="1"/>
  <c r="D6" i="2"/>
  <c r="B5" i="2"/>
  <c r="H5" i="2" l="1"/>
  <c r="D5" i="2"/>
  <c r="B9" i="2"/>
  <c r="H9" i="2" l="1"/>
  <c r="D9" i="2"/>
  <c r="B3" i="2"/>
  <c r="D3" i="2" s="1"/>
  <c r="B10" i="2" l="1"/>
  <c r="B13" i="2" s="1"/>
  <c r="I10" i="2" l="1"/>
  <c r="X27" i="1"/>
  <c r="Q25" i="1"/>
  <c r="K25" i="1"/>
  <c r="Y27" i="1" l="1"/>
  <c r="O25" i="1"/>
  <c r="M25" i="1"/>
  <c r="Z27" i="1" l="1"/>
  <c r="AA27" i="1" s="1"/>
  <c r="X12" i="1"/>
  <c r="X13" i="1"/>
  <c r="X16" i="1"/>
  <c r="X19" i="1"/>
  <c r="X20" i="1"/>
  <c r="X22" i="1"/>
  <c r="X23" i="1"/>
  <c r="X7" i="1"/>
  <c r="Y7" i="1" s="1"/>
  <c r="X9" i="1"/>
  <c r="X10" i="1"/>
  <c r="X11" i="1"/>
  <c r="X14" i="1"/>
  <c r="X15" i="1"/>
  <c r="X21" i="1"/>
  <c r="P25" i="1"/>
  <c r="N25" i="1"/>
  <c r="L25" i="1"/>
  <c r="J25" i="1"/>
  <c r="V25" i="1"/>
  <c r="W26" i="1" s="1"/>
  <c r="X24" i="1"/>
  <c r="X18" i="1"/>
  <c r="X17" i="1"/>
  <c r="X8" i="1"/>
  <c r="X5" i="1"/>
  <c r="E2" i="2" s="1"/>
  <c r="Y19" i="1" l="1"/>
  <c r="Z19" i="1" s="1"/>
  <c r="AA19" i="1" s="1"/>
  <c r="Y14" i="1"/>
  <c r="Z14" i="1" s="1"/>
  <c r="AA14" i="1" s="1"/>
  <c r="Y8" i="1"/>
  <c r="Y17" i="1"/>
  <c r="Z17" i="1" s="1"/>
  <c r="AA17" i="1" s="1"/>
  <c r="Y16" i="1"/>
  <c r="Z16" i="1" s="1"/>
  <c r="AA16" i="1" s="1"/>
  <c r="Y22" i="1"/>
  <c r="Z22" i="1" s="1"/>
  <c r="AA22" i="1" s="1"/>
  <c r="Y20" i="1"/>
  <c r="Z20" i="1" s="1"/>
  <c r="AA20" i="1" s="1"/>
  <c r="Y13" i="1"/>
  <c r="Z13" i="1" s="1"/>
  <c r="AA13" i="1" s="1"/>
  <c r="Y11" i="1"/>
  <c r="Z11" i="1" s="1"/>
  <c r="AA11" i="1" s="1"/>
  <c r="Y10" i="1"/>
  <c r="Z10" i="1" s="1"/>
  <c r="AA10" i="1" s="1"/>
  <c r="Y18" i="1"/>
  <c r="Z18" i="1" s="1"/>
  <c r="AA18" i="1" s="1"/>
  <c r="Y9" i="1"/>
  <c r="Z9" i="1" s="1"/>
  <c r="AA9" i="1" s="1"/>
  <c r="Y24" i="1"/>
  <c r="Z24" i="1" s="1"/>
  <c r="AA24" i="1" s="1"/>
  <c r="Y21" i="1"/>
  <c r="Z21" i="1" s="1"/>
  <c r="AA21" i="1" s="1"/>
  <c r="Y15" i="1"/>
  <c r="Z15" i="1" s="1"/>
  <c r="AA15" i="1" s="1"/>
  <c r="Y23" i="1"/>
  <c r="Z23" i="1" s="1"/>
  <c r="AA23" i="1" s="1"/>
  <c r="Y12" i="1"/>
  <c r="Z12" i="1" s="1"/>
  <c r="AA12" i="1" s="1"/>
  <c r="Z7" i="1"/>
  <c r="AA7" i="1" s="1"/>
  <c r="X25" i="1"/>
  <c r="AC25" i="1" s="1"/>
  <c r="AD25" i="1" s="1"/>
  <c r="G25" i="1"/>
  <c r="F25" i="1"/>
  <c r="I25" i="1"/>
  <c r="H25" i="1"/>
  <c r="S25" i="1"/>
  <c r="R25" i="1"/>
  <c r="Y25" i="1" l="1"/>
  <c r="Z8" i="1"/>
  <c r="AA8" i="1" s="1"/>
  <c r="Y26" i="1" l="1"/>
  <c r="Y5" i="1"/>
  <c r="Z25" i="1"/>
  <c r="AA25" i="1" s="1"/>
  <c r="S29" i="1" l="1"/>
  <c r="S5" i="3" s="1"/>
  <c r="AH5" i="3" s="1"/>
  <c r="S66" i="1"/>
  <c r="S42" i="3" s="1"/>
  <c r="AH42" i="3" s="1"/>
  <c r="S67" i="1"/>
  <c r="S43" i="3" s="1"/>
  <c r="AH43" i="3" s="1"/>
  <c r="S63" i="1"/>
  <c r="S39" i="3" s="1"/>
  <c r="AH39" i="3" s="1"/>
  <c r="S59" i="1"/>
  <c r="S35" i="3" s="1"/>
  <c r="AH35" i="3" s="1"/>
  <c r="S68" i="1"/>
  <c r="S44" i="3" s="1"/>
  <c r="AH44" i="3" s="1"/>
  <c r="S62" i="1"/>
  <c r="S38" i="3" s="1"/>
  <c r="AH38" i="3" s="1"/>
  <c r="S60" i="1"/>
  <c r="S36" i="3" s="1"/>
  <c r="AH36" i="3" s="1"/>
  <c r="S28" i="1"/>
  <c r="S4" i="3" s="1"/>
  <c r="AH4" i="3" s="1"/>
  <c r="S61" i="1"/>
  <c r="S37" i="3" s="1"/>
  <c r="AH37" i="3" s="1"/>
  <c r="S33" i="1" l="1"/>
  <c r="S9" i="3" s="1"/>
  <c r="AH9" i="3" s="1"/>
  <c r="S30" i="1" l="1"/>
  <c r="S6" i="3" s="1"/>
  <c r="AH6" i="3" s="1"/>
  <c r="S34" i="1" l="1"/>
  <c r="S10" i="3" s="1"/>
  <c r="AH10" i="3" s="1"/>
  <c r="S70" i="1" l="1"/>
  <c r="S46" i="3" s="1"/>
  <c r="AH46" i="3" s="1"/>
  <c r="S71" i="1" l="1"/>
  <c r="S47" i="3" s="1"/>
  <c r="AH47" i="3" s="1"/>
  <c r="S32" i="1" l="1"/>
  <c r="S8" i="3" s="1"/>
  <c r="AH8" i="3" s="1"/>
  <c r="S31" i="1"/>
  <c r="S7" i="3" s="1"/>
  <c r="AH7" i="3" s="1"/>
  <c r="AH116" i="3" l="1"/>
  <c r="AH117" i="3" s="1"/>
  <c r="AH118" i="3" s="1"/>
  <c r="AH119" i="3" s="1"/>
  <c r="AH120" i="3" s="1"/>
  <c r="AH121" i="3" s="1"/>
  <c r="O66" i="1"/>
  <c r="O42" i="3" s="1"/>
  <c r="AF42" i="3" s="1"/>
  <c r="O61" i="1"/>
  <c r="O37" i="3" s="1"/>
  <c r="AF37" i="3" s="1"/>
  <c r="O34" i="1"/>
  <c r="O10" i="3" s="1"/>
  <c r="AF10" i="3" s="1"/>
  <c r="O32" i="1"/>
  <c r="O8" i="3" s="1"/>
  <c r="AF8" i="3" s="1"/>
  <c r="O28" i="1"/>
  <c r="O4" i="3" s="1"/>
  <c r="AF4" i="3" s="1"/>
  <c r="AH122" i="3" l="1"/>
  <c r="O71" i="1"/>
  <c r="O47" i="3" s="1"/>
  <c r="AF47" i="3" s="1"/>
  <c r="O68" i="1"/>
  <c r="O44" i="3" s="1"/>
  <c r="AF44" i="3" s="1"/>
  <c r="O63" i="1"/>
  <c r="O39" i="3" s="1"/>
  <c r="AF39" i="3" s="1"/>
  <c r="O31" i="1"/>
  <c r="O7" i="3" s="1"/>
  <c r="AF7" i="3" s="1"/>
  <c r="O33" i="1"/>
  <c r="O9" i="3" s="1"/>
  <c r="AF9" i="3" s="1"/>
  <c r="O30" i="1"/>
  <c r="O6" i="3" s="1"/>
  <c r="AF6" i="3" s="1"/>
  <c r="O70" i="1"/>
  <c r="O46" i="3" s="1"/>
  <c r="AF46" i="3" s="1"/>
  <c r="O60" i="1"/>
  <c r="O36" i="3" s="1"/>
  <c r="AF36" i="3" s="1"/>
  <c r="O67" i="1"/>
  <c r="O43" i="3" s="1"/>
  <c r="AF43" i="3" s="1"/>
  <c r="O62" i="1"/>
  <c r="O38" i="3" s="1"/>
  <c r="AF38" i="3" s="1"/>
  <c r="O29" i="1"/>
  <c r="O5" i="3" s="1"/>
  <c r="AF5" i="3" s="1"/>
  <c r="O59" i="1"/>
  <c r="O35" i="3" s="1"/>
  <c r="AF35" i="3" s="1"/>
  <c r="AF116" i="3" l="1"/>
  <c r="AF117" i="3" s="1"/>
  <c r="AF118" i="3" s="1"/>
  <c r="AF119" i="3" s="1"/>
  <c r="AF120" i="3" s="1"/>
  <c r="AF121" i="3" s="1"/>
  <c r="Q70" i="1"/>
  <c r="Q46" i="3" s="1"/>
  <c r="AG46" i="3" s="1"/>
  <c r="Q60" i="1"/>
  <c r="Q36" i="3" s="1"/>
  <c r="AG36" i="3" s="1"/>
  <c r="Q34" i="1"/>
  <c r="Q10" i="3" s="1"/>
  <c r="AG10" i="3" s="1"/>
  <c r="Q29" i="1"/>
  <c r="Q5" i="3" s="1"/>
  <c r="AG5" i="3" s="1"/>
  <c r="AF122" i="3" l="1"/>
  <c r="Q31" i="1"/>
  <c r="Q7" i="3" s="1"/>
  <c r="AG7" i="3" s="1"/>
  <c r="Q71" i="1" l="1"/>
  <c r="Q47" i="3" s="1"/>
  <c r="AG47" i="3" s="1"/>
  <c r="Q63" i="1"/>
  <c r="Q39" i="3" s="1"/>
  <c r="AG39" i="3" s="1"/>
  <c r="Q62" i="1"/>
  <c r="Q38" i="3" s="1"/>
  <c r="AG38" i="3" s="1"/>
  <c r="Q33" i="1"/>
  <c r="Q9" i="3" s="1"/>
  <c r="AG9" i="3" s="1"/>
  <c r="Q68" i="1"/>
  <c r="Q44" i="3" s="1"/>
  <c r="AG44" i="3" s="1"/>
  <c r="Q66" i="1"/>
  <c r="Q42" i="3" s="1"/>
  <c r="AG42" i="3" s="1"/>
  <c r="Q32" i="1"/>
  <c r="Q8" i="3" s="1"/>
  <c r="AG8" i="3" s="1"/>
  <c r="Q59" i="1"/>
  <c r="Q35" i="3" s="1"/>
  <c r="AG35" i="3" s="1"/>
  <c r="Q61" i="1"/>
  <c r="Q37" i="3" s="1"/>
  <c r="AG37" i="3" s="1"/>
  <c r="Q30" i="1"/>
  <c r="Q6" i="3" s="1"/>
  <c r="AG6" i="3" s="1"/>
  <c r="Q67" i="1"/>
  <c r="Q43" i="3" s="1"/>
  <c r="AG43" i="3" s="1"/>
  <c r="Q28" i="1"/>
  <c r="Q4" i="3" s="1"/>
  <c r="AG4" i="3" s="1"/>
  <c r="AG116" i="3" l="1"/>
  <c r="AG117" i="3" s="1"/>
  <c r="AG118" i="3" s="1"/>
  <c r="AG119" i="3" s="1"/>
  <c r="AG120" i="3" s="1"/>
  <c r="AG121" i="3" s="1"/>
  <c r="AG122" i="3" s="1"/>
  <c r="K70" i="1"/>
  <c r="K46" i="3" s="1"/>
  <c r="AD46" i="3" s="1"/>
  <c r="K33" i="1"/>
  <c r="K9" i="3" s="1"/>
  <c r="AD9" i="3" s="1"/>
  <c r="G71" i="1"/>
  <c r="G47" i="3" s="1"/>
  <c r="AB47" i="3" s="1"/>
  <c r="G29" i="1"/>
  <c r="G5" i="3" s="1"/>
  <c r="AB5" i="3" s="1"/>
  <c r="G28" i="1"/>
  <c r="G4" i="3" s="1"/>
  <c r="AB4" i="3" s="1"/>
  <c r="G31" i="1" l="1"/>
  <c r="G7" i="3" s="1"/>
  <c r="AB7" i="3" s="1"/>
  <c r="G67" i="1" l="1"/>
  <c r="G43" i="3" s="1"/>
  <c r="AB43" i="3" s="1"/>
  <c r="K63" i="1"/>
  <c r="K39" i="3" s="1"/>
  <c r="AD39" i="3" s="1"/>
  <c r="K60" i="1"/>
  <c r="K36" i="3" s="1"/>
  <c r="AD36" i="3" s="1"/>
  <c r="G70" i="1"/>
  <c r="G46" i="3" s="1"/>
  <c r="AB46" i="3" s="1"/>
  <c r="G59" i="1"/>
  <c r="G35" i="3" s="1"/>
  <c r="AB35" i="3" s="1"/>
  <c r="K67" i="1"/>
  <c r="K43" i="3" s="1"/>
  <c r="AD43" i="3" s="1"/>
  <c r="K32" i="1"/>
  <c r="K8" i="3" s="1"/>
  <c r="AD8" i="3" s="1"/>
  <c r="K28" i="1"/>
  <c r="K4" i="3" s="1"/>
  <c r="AD4" i="3" s="1"/>
  <c r="G34" i="1"/>
  <c r="G10" i="3" s="1"/>
  <c r="AB10" i="3" s="1"/>
  <c r="G62" i="1"/>
  <c r="G38" i="3" s="1"/>
  <c r="AB38" i="3" s="1"/>
  <c r="K34" i="1"/>
  <c r="K10" i="3" s="1"/>
  <c r="AD10" i="3" s="1"/>
  <c r="K62" i="1"/>
  <c r="K38" i="3" s="1"/>
  <c r="AD38" i="3" s="1"/>
  <c r="K59" i="1"/>
  <c r="K35" i="3" s="1"/>
  <c r="AD35" i="3" s="1"/>
  <c r="G66" i="1"/>
  <c r="G42" i="3" s="1"/>
  <c r="AB42" i="3" s="1"/>
  <c r="G60" i="1"/>
  <c r="G36" i="3" s="1"/>
  <c r="AB36" i="3" s="1"/>
  <c r="G68" i="1"/>
  <c r="G44" i="3" s="1"/>
  <c r="AB44" i="3" s="1"/>
  <c r="G32" i="1"/>
  <c r="G8" i="3" s="1"/>
  <c r="AB8" i="3" s="1"/>
  <c r="K31" i="1"/>
  <c r="K7" i="3" s="1"/>
  <c r="AD7" i="3" s="1"/>
  <c r="K29" i="1"/>
  <c r="K5" i="3" s="1"/>
  <c r="AD5" i="3" s="1"/>
  <c r="K68" i="1"/>
  <c r="K44" i="3" s="1"/>
  <c r="AD44" i="3" s="1"/>
  <c r="K71" i="1"/>
  <c r="K47" i="3" s="1"/>
  <c r="AD47" i="3" s="1"/>
  <c r="K66" i="1"/>
  <c r="K42" i="3" s="1"/>
  <c r="AD42" i="3" s="1"/>
  <c r="K30" i="1"/>
  <c r="K6" i="3" s="1"/>
  <c r="AD6" i="3" s="1"/>
  <c r="K61" i="1"/>
  <c r="K37" i="3" s="1"/>
  <c r="AD37" i="3" s="1"/>
  <c r="G61" i="1"/>
  <c r="G37" i="3" s="1"/>
  <c r="AB37" i="3" s="1"/>
  <c r="G63" i="1"/>
  <c r="G39" i="3" s="1"/>
  <c r="AB39" i="3" s="1"/>
  <c r="AD116" i="3" l="1"/>
  <c r="AD117" i="3" s="1"/>
  <c r="AD118" i="3" s="1"/>
  <c r="AD119" i="3" s="1"/>
  <c r="AD120" i="3" s="1"/>
  <c r="AD121" i="3" s="1"/>
  <c r="AB116" i="3"/>
  <c r="M68" i="1"/>
  <c r="M44" i="3" s="1"/>
  <c r="AE44" i="3" s="1"/>
  <c r="M67" i="1"/>
  <c r="M43" i="3" s="1"/>
  <c r="AE43" i="3" s="1"/>
  <c r="M66" i="1"/>
  <c r="M42" i="3" s="1"/>
  <c r="AE42" i="3" s="1"/>
  <c r="M62" i="1"/>
  <c r="M38" i="3" s="1"/>
  <c r="AE38" i="3" s="1"/>
  <c r="M61" i="1"/>
  <c r="M37" i="3" s="1"/>
  <c r="AE37" i="3" s="1"/>
  <c r="M60" i="1"/>
  <c r="M36" i="3" s="1"/>
  <c r="AE36" i="3" s="1"/>
  <c r="M29" i="1"/>
  <c r="M5" i="3" s="1"/>
  <c r="AE5" i="3" s="1"/>
  <c r="AD122" i="3" l="1"/>
  <c r="AB117" i="3"/>
  <c r="M63" i="1"/>
  <c r="M39" i="3" s="1"/>
  <c r="AE39" i="3" s="1"/>
  <c r="M59" i="1"/>
  <c r="M35" i="3" s="1"/>
  <c r="AE35" i="3" s="1"/>
  <c r="M28" i="1"/>
  <c r="M4" i="3" s="1"/>
  <c r="AE4" i="3" s="1"/>
  <c r="AB118" i="3" l="1"/>
  <c r="I71" i="1"/>
  <c r="I47" i="3" s="1"/>
  <c r="AC47" i="3" s="1"/>
  <c r="I70" i="1"/>
  <c r="I46" i="3" s="1"/>
  <c r="AC46" i="3" s="1"/>
  <c r="I68" i="1"/>
  <c r="I67" i="1"/>
  <c r="I66" i="1"/>
  <c r="I63" i="1"/>
  <c r="I62" i="1"/>
  <c r="I61" i="1"/>
  <c r="I60" i="1"/>
  <c r="I59" i="1"/>
  <c r="I29" i="1"/>
  <c r="I28" i="1"/>
  <c r="X67" i="1" l="1"/>
  <c r="I43" i="3"/>
  <c r="AC43" i="3" s="1"/>
  <c r="AJ43" i="3" s="1"/>
  <c r="X66" i="1"/>
  <c r="I42" i="3"/>
  <c r="AC42" i="3" s="1"/>
  <c r="AJ42" i="3" s="1"/>
  <c r="X61" i="1"/>
  <c r="I37" i="3"/>
  <c r="AC37" i="3" s="1"/>
  <c r="AJ37" i="3" s="1"/>
  <c r="X62" i="1"/>
  <c r="I38" i="3"/>
  <c r="AC38" i="3" s="1"/>
  <c r="AJ38" i="3" s="1"/>
  <c r="X63" i="1"/>
  <c r="I39" i="3"/>
  <c r="AC39" i="3" s="1"/>
  <c r="AJ39" i="3" s="1"/>
  <c r="X68" i="1"/>
  <c r="I44" i="3"/>
  <c r="AC44" i="3" s="1"/>
  <c r="AJ44" i="3" s="1"/>
  <c r="X28" i="1"/>
  <c r="I4" i="3"/>
  <c r="AC4" i="3" s="1"/>
  <c r="X29" i="1"/>
  <c r="I5" i="3"/>
  <c r="AC5" i="3" s="1"/>
  <c r="AJ5" i="3" s="1"/>
  <c r="AB119" i="3"/>
  <c r="X59" i="1"/>
  <c r="I35" i="3"/>
  <c r="AC35" i="3" s="1"/>
  <c r="AJ35" i="3" s="1"/>
  <c r="X60" i="1"/>
  <c r="I36" i="3"/>
  <c r="AC36" i="3" s="1"/>
  <c r="AJ36" i="3" s="1"/>
  <c r="I33" i="1"/>
  <c r="I9" i="3" s="1"/>
  <c r="AC9" i="3" s="1"/>
  <c r="I30" i="1"/>
  <c r="I6" i="3" s="1"/>
  <c r="AC6" i="3" s="1"/>
  <c r="I32" i="1"/>
  <c r="I8" i="3" s="1"/>
  <c r="AC8" i="3" s="1"/>
  <c r="I34" i="1"/>
  <c r="I10" i="3" s="1"/>
  <c r="AC10" i="3" s="1"/>
  <c r="I31" i="1"/>
  <c r="I7" i="3" s="1"/>
  <c r="AC7" i="3" s="1"/>
  <c r="Y63" i="1" l="1"/>
  <c r="X39" i="3"/>
  <c r="Y62" i="1"/>
  <c r="X38" i="3"/>
  <c r="Y61" i="1"/>
  <c r="X37" i="3"/>
  <c r="AB120" i="3"/>
  <c r="Y29" i="1"/>
  <c r="X5" i="3"/>
  <c r="Y59" i="1"/>
  <c r="X35" i="3"/>
  <c r="Y68" i="1"/>
  <c r="X44" i="3"/>
  <c r="Y60" i="1"/>
  <c r="X36" i="3"/>
  <c r="AC116" i="3"/>
  <c r="AJ4" i="3"/>
  <c r="Y28" i="1"/>
  <c r="X4" i="3"/>
  <c r="Y66" i="1"/>
  <c r="X42" i="3"/>
  <c r="Y67" i="1"/>
  <c r="X43" i="3"/>
  <c r="M33" i="1"/>
  <c r="Z29" i="1" l="1"/>
  <c r="Z5" i="3" s="1"/>
  <c r="AK5" i="3"/>
  <c r="AL5" i="3" s="1"/>
  <c r="Y5" i="3"/>
  <c r="Z59" i="1"/>
  <c r="Z35" i="3" s="1"/>
  <c r="AK35" i="3"/>
  <c r="AL35" i="3" s="1"/>
  <c r="Y35" i="3"/>
  <c r="AK4" i="3"/>
  <c r="AL4" i="3" s="1"/>
  <c r="Y4" i="3"/>
  <c r="Z28" i="1"/>
  <c r="Z4" i="3" s="1"/>
  <c r="Z61" i="1"/>
  <c r="Z37" i="3" s="1"/>
  <c r="AK37" i="3"/>
  <c r="AL37" i="3" s="1"/>
  <c r="Y37" i="3"/>
  <c r="AC117" i="3"/>
  <c r="Z62" i="1"/>
  <c r="Z38" i="3" s="1"/>
  <c r="AK38" i="3"/>
  <c r="AL38" i="3" s="1"/>
  <c r="Y38" i="3"/>
  <c r="Z68" i="1"/>
  <c r="Z44" i="3" s="1"/>
  <c r="AK44" i="3"/>
  <c r="AL44" i="3" s="1"/>
  <c r="Y44" i="3"/>
  <c r="X33" i="1"/>
  <c r="M9" i="3"/>
  <c r="AE9" i="3" s="1"/>
  <c r="AJ9" i="3" s="1"/>
  <c r="AB121" i="3"/>
  <c r="Z67" i="1"/>
  <c r="Z43" i="3" s="1"/>
  <c r="AK43" i="3"/>
  <c r="AL43" i="3" s="1"/>
  <c r="Y43" i="3"/>
  <c r="Z60" i="1"/>
  <c r="Z36" i="3" s="1"/>
  <c r="AK36" i="3"/>
  <c r="AL36" i="3" s="1"/>
  <c r="Y36" i="3"/>
  <c r="Z66" i="1"/>
  <c r="Z42" i="3" s="1"/>
  <c r="AK42" i="3"/>
  <c r="AL42" i="3" s="1"/>
  <c r="Y42" i="3"/>
  <c r="Z63" i="1"/>
  <c r="Z39" i="3" s="1"/>
  <c r="AK39" i="3"/>
  <c r="AL39" i="3" s="1"/>
  <c r="Y39" i="3"/>
  <c r="M30" i="1"/>
  <c r="Y33" i="1" l="1"/>
  <c r="X9" i="3"/>
  <c r="AB122" i="3"/>
  <c r="AC118" i="3"/>
  <c r="X30" i="1"/>
  <c r="M6" i="3"/>
  <c r="AE6" i="3" s="1"/>
  <c r="M70" i="1"/>
  <c r="Y30" i="1" l="1"/>
  <c r="X6" i="3"/>
  <c r="X70" i="1"/>
  <c r="M46" i="3"/>
  <c r="AE46" i="3" s="1"/>
  <c r="AJ46" i="3" s="1"/>
  <c r="AJ6" i="3"/>
  <c r="AC119" i="3"/>
  <c r="Z33" i="1"/>
  <c r="Z9" i="3" s="1"/>
  <c r="AK9" i="3"/>
  <c r="AL9" i="3" s="1"/>
  <c r="Y9" i="3"/>
  <c r="M71" i="1"/>
  <c r="M31" i="1"/>
  <c r="M34" i="1"/>
  <c r="AC120" i="3" l="1"/>
  <c r="Y70" i="1"/>
  <c r="X46" i="3"/>
  <c r="X34" i="1"/>
  <c r="M10" i="3"/>
  <c r="AE10" i="3" s="1"/>
  <c r="AJ10" i="3" s="1"/>
  <c r="X31" i="1"/>
  <c r="M7" i="3"/>
  <c r="AE7" i="3" s="1"/>
  <c r="X71" i="1"/>
  <c r="M47" i="3"/>
  <c r="AE47" i="3" s="1"/>
  <c r="AJ47" i="3" s="1"/>
  <c r="AK6" i="3"/>
  <c r="AL6" i="3" s="1"/>
  <c r="Y6" i="3"/>
  <c r="Z30" i="1"/>
  <c r="Z6" i="3" s="1"/>
  <c r="M32" i="1"/>
  <c r="AJ7" i="3" l="1"/>
  <c r="Z70" i="1"/>
  <c r="Z46" i="3" s="1"/>
  <c r="AK46" i="3"/>
  <c r="AL46" i="3" s="1"/>
  <c r="Y46" i="3"/>
  <c r="Y31" i="1"/>
  <c r="X7" i="3"/>
  <c r="Y34" i="1"/>
  <c r="X10" i="3"/>
  <c r="Y71" i="1"/>
  <c r="X47" i="3"/>
  <c r="X32" i="1"/>
  <c r="M8" i="3"/>
  <c r="AE8" i="3" s="1"/>
  <c r="AJ8" i="3" s="1"/>
  <c r="AC121" i="3"/>
  <c r="E3" i="2"/>
  <c r="AK7" i="3" l="1"/>
  <c r="AL7" i="3" s="1"/>
  <c r="Y7" i="3"/>
  <c r="Z31" i="1"/>
  <c r="Z7" i="3" s="1"/>
  <c r="Z71" i="1"/>
  <c r="Z47" i="3" s="1"/>
  <c r="AK47" i="3"/>
  <c r="AL47" i="3" s="1"/>
  <c r="Y47" i="3"/>
  <c r="AC122" i="3"/>
  <c r="AE116" i="3"/>
  <c r="Z34" i="1"/>
  <c r="Z10" i="3" s="1"/>
  <c r="AK10" i="3"/>
  <c r="AL10" i="3" s="1"/>
  <c r="Y10" i="3"/>
  <c r="Y32" i="1"/>
  <c r="X8" i="3"/>
  <c r="G3" i="2"/>
  <c r="H3" i="2"/>
  <c r="E10" i="2"/>
  <c r="AE117" i="3" l="1"/>
  <c r="AJ116" i="3"/>
  <c r="Z32" i="1"/>
  <c r="Z8" i="3" s="1"/>
  <c r="AK8" i="3"/>
  <c r="AL8" i="3" s="1"/>
  <c r="Y8" i="3"/>
  <c r="Y140" i="1"/>
  <c r="H10" i="2"/>
  <c r="H12" i="2" s="1"/>
  <c r="J10" i="2"/>
  <c r="AK116" i="3" l="1"/>
  <c r="AL116" i="3" s="1"/>
  <c r="Y116" i="3"/>
  <c r="Y141" i="1"/>
  <c r="Z140" i="1"/>
  <c r="Z116" i="3" s="1"/>
  <c r="AE118" i="3"/>
  <c r="AJ117" i="3"/>
  <c r="AK117" i="3" l="1"/>
  <c r="AL117" i="3" s="1"/>
  <c r="Y117" i="3"/>
  <c r="Y142" i="1"/>
  <c r="Z141" i="1"/>
  <c r="Z117" i="3" s="1"/>
  <c r="AE119" i="3"/>
  <c r="AJ118" i="3"/>
  <c r="AE120" i="3" l="1"/>
  <c r="AJ119" i="3"/>
  <c r="AK118" i="3"/>
  <c r="AL118" i="3" s="1"/>
  <c r="Y118" i="3"/>
  <c r="Y143" i="1"/>
  <c r="Z142" i="1"/>
  <c r="Z118" i="3" s="1"/>
  <c r="AK119" i="3" l="1"/>
  <c r="AL119" i="3" s="1"/>
  <c r="Y119" i="3"/>
  <c r="Y144" i="1"/>
  <c r="Z143" i="1"/>
  <c r="Z119" i="3" s="1"/>
  <c r="AE121" i="3"/>
  <c r="AJ120" i="3"/>
  <c r="AK120" i="3" l="1"/>
  <c r="Y120" i="3"/>
  <c r="Y145" i="1"/>
  <c r="Z144" i="1"/>
  <c r="Z120" i="3" s="1"/>
  <c r="AL120" i="3"/>
  <c r="AJ121" i="3"/>
  <c r="AJ122" i="3" s="1"/>
  <c r="AE122" i="3"/>
  <c r="AJ128" i="3" l="1"/>
  <c r="AL122" i="3"/>
  <c r="Z145" i="1"/>
  <c r="Z121" i="3" s="1"/>
  <c r="AK121" i="3"/>
  <c r="AL121" i="3" s="1"/>
  <c r="Y121" i="3"/>
  <c r="Y146" i="1"/>
  <c r="AJ123" i="3" l="1"/>
  <c r="Y122" i="3"/>
  <c r="Y4" i="1"/>
  <c r="AA4" i="1" s="1"/>
  <c r="Y147" i="1"/>
  <c r="Y123" i="3" s="1"/>
  <c r="AL123" i="3" l="1"/>
  <c r="AJ124" i="3"/>
  <c r="AL124" i="3" s="1"/>
</calcChain>
</file>

<file path=xl/sharedStrings.xml><?xml version="1.0" encoding="utf-8"?>
<sst xmlns="http://schemas.openxmlformats.org/spreadsheetml/2006/main" count="471" uniqueCount="126">
  <si>
    <t>Tender</t>
  </si>
  <si>
    <t>Design</t>
  </si>
  <si>
    <t>Name of Item</t>
  </si>
  <si>
    <t>Unit</t>
  </si>
  <si>
    <t>Injewada Mr @ RD 120 M</t>
  </si>
  <si>
    <t>Total</t>
  </si>
  <si>
    <t>Qty</t>
  </si>
  <si>
    <t>HA</t>
  </si>
  <si>
    <t>HDPE 4 Kg /Cm2</t>
  </si>
  <si>
    <t>a</t>
  </si>
  <si>
    <t>mm</t>
  </si>
  <si>
    <t>Rmt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</si>
  <si>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</si>
  <si>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</si>
  <si>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</si>
  <si>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</si>
  <si>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</si>
  <si>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</si>
  <si>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</si>
  <si>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</si>
  <si>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</si>
  <si>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</si>
  <si>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</si>
  <si>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</si>
  <si>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</si>
  <si>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</si>
  <si>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</si>
  <si>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</si>
  <si>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</si>
  <si>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No</t>
  </si>
  <si>
    <t>Upto 180 mm dia pipe line</t>
  </si>
  <si>
    <t>200 m dia to 400 mm dia pipe line</t>
  </si>
  <si>
    <t>450 m dia to900 mm dia pipe line</t>
  </si>
  <si>
    <t>MT</t>
  </si>
  <si>
    <t>No.</t>
  </si>
  <si>
    <t>Sqm</t>
  </si>
  <si>
    <t>Ha</t>
  </si>
  <si>
    <t>meeting</t>
  </si>
  <si>
    <t>training</t>
  </si>
  <si>
    <t>C) Training to be conducted after formation of</t>
  </si>
  <si>
    <t>Item No. 20 :-Labour  charges for collections of</t>
  </si>
  <si>
    <t>ha</t>
  </si>
  <si>
    <t>Item No. 21:- Full Bore Electromagnetic Flow Meter</t>
  </si>
  <si>
    <t>kg</t>
  </si>
  <si>
    <t>Km</t>
  </si>
  <si>
    <t>T Joint chambers</t>
  </si>
  <si>
    <t>Cum</t>
  </si>
  <si>
    <t>Item No. 27:-Providing internal cement plaster</t>
  </si>
  <si>
    <t>Item No. 28:-Providing sand faced plaster</t>
  </si>
  <si>
    <t>Item No. 29:-Providing and applying two coats of</t>
  </si>
  <si>
    <t>Item No. 30:-Providing and applying colour-wash of</t>
  </si>
  <si>
    <t>Item No. 31:-Providing and fixing rolling shutter</t>
  </si>
  <si>
    <t>Item No. 32:-Providing and fixing steel window</t>
  </si>
  <si>
    <t>Each</t>
  </si>
  <si>
    <t>Ha. CCA</t>
  </si>
  <si>
    <t>1 year</t>
  </si>
  <si>
    <t>0.40 % of cost of work</t>
  </si>
  <si>
    <t>2 year</t>
  </si>
  <si>
    <t>3 year</t>
  </si>
  <si>
    <t>4 year</t>
  </si>
  <si>
    <t>5 year</t>
  </si>
  <si>
    <r>
      <rPr>
        <b/>
        <sz val="8"/>
        <rFont val="Century Gothic"/>
        <family val="2"/>
      </rPr>
      <t>Name of Work :- Construction of Pipe Distribution Network on Minors along with CADWM from RD 0 to 10000 M on Main Canal of Surewada Lift
Irrigation Scheme (Irrigation Potential of 2073 Ha)</t>
    </r>
  </si>
  <si>
    <r>
      <rPr>
        <sz val="8"/>
        <rFont val="Century Gothic"/>
        <family val="2"/>
      </rPr>
      <t>Sarpewda
Mr @ RD 1110 M</t>
    </r>
  </si>
  <si>
    <r>
      <rPr>
        <sz val="8"/>
        <rFont val="Century Gothic"/>
        <family val="2"/>
      </rPr>
      <t>Koka  Mr 1
@ RD 3240 M</t>
    </r>
  </si>
  <si>
    <r>
      <rPr>
        <sz val="8"/>
        <rFont val="Century Gothic"/>
        <family val="2"/>
      </rPr>
      <t>Koka  Mr 2
@ RD 4645 M</t>
    </r>
  </si>
  <si>
    <r>
      <rPr>
        <sz val="8"/>
        <rFont val="Century Gothic"/>
        <family val="2"/>
      </rPr>
      <t>Sonkund  Mr
@ RD 6030 M</t>
    </r>
  </si>
  <si>
    <r>
      <rPr>
        <sz val="8"/>
        <rFont val="Century Gothic"/>
        <family val="2"/>
      </rPr>
      <t>Palora  Mr
@ RD 6850 M</t>
    </r>
  </si>
  <si>
    <r>
      <rPr>
        <sz val="8"/>
        <rFont val="Century Gothic"/>
        <family val="2"/>
      </rPr>
      <t>Kesalwada
Mr @ RD 8770 M</t>
    </r>
  </si>
  <si>
    <r>
      <rPr>
        <sz val="8"/>
        <rFont val="Century Gothic"/>
        <family val="2"/>
      </rPr>
      <t>Item No. 8:- Providing and supplying Prestressed
Concrete Cylinder Pipes suitable for sliding ovrelap</t>
    </r>
  </si>
  <si>
    <r>
      <rPr>
        <sz val="8"/>
        <rFont val="Century Gothic"/>
        <family val="2"/>
      </rPr>
      <t>Sarpewda Mr @ RD
1110 M</t>
    </r>
  </si>
  <si>
    <r>
      <rPr>
        <sz val="8"/>
        <rFont val="Century Gothic"/>
        <family val="2"/>
      </rPr>
      <t>Sonkund  Mr @ RD 6030
M</t>
    </r>
  </si>
  <si>
    <r>
      <rPr>
        <sz val="8"/>
        <rFont val="Century Gothic"/>
        <family val="2"/>
      </rPr>
      <t>Palora  Mr @ RD
6850 M</t>
    </r>
  </si>
  <si>
    <r>
      <rPr>
        <sz val="8"/>
        <rFont val="Century Gothic"/>
        <family val="2"/>
      </rPr>
      <t>Kesalwada Mr @ RD
8770 M</t>
    </r>
  </si>
  <si>
    <r>
      <rPr>
        <sz val="8"/>
        <rFont val="Century Gothic"/>
        <family val="2"/>
      </rPr>
      <t>A) Meeting to be conducted before formation of
WUAs ,</t>
    </r>
  </si>
  <si>
    <r>
      <rPr>
        <sz val="8"/>
        <rFont val="Century Gothic"/>
        <family val="2"/>
      </rPr>
      <t>B) Training  to be conducted before formation of
WUAs ,</t>
    </r>
  </si>
  <si>
    <t>Area CCA</t>
  </si>
  <si>
    <t>Koka  Mr 2
@ RD 4645 M</t>
  </si>
  <si>
    <t>Rate</t>
  </si>
  <si>
    <t xml:space="preserve">PCCP </t>
  </si>
  <si>
    <t>Sarpewda
Mr @ RD 1110 M</t>
  </si>
  <si>
    <t>Koka  Mr 1
@ RD 3240 M</t>
  </si>
  <si>
    <t>Sonkund  Mr
@ RD 6030 M</t>
  </si>
  <si>
    <t>Palora  Mr
@ RD 6850 M</t>
  </si>
  <si>
    <t>Kesalwada
Mr @ RD 8770 M</t>
  </si>
  <si>
    <t>MINORS</t>
  </si>
  <si>
    <t>TOTAL</t>
  </si>
  <si>
    <t>CCA</t>
  </si>
  <si>
    <t>AMOUNT PER CCA</t>
  </si>
  <si>
    <t>DIFF</t>
  </si>
  <si>
    <t>CUM</t>
  </si>
  <si>
    <t>ITEM NO :5 RUBBLE SOLLING BELOW</t>
  </si>
  <si>
    <t>ITEM NO :6 SAND BEDDING</t>
  </si>
  <si>
    <t>ITEM NO 7</t>
  </si>
  <si>
    <t>ITEM NO : 1B EXCAVATION FOR DEEP TRENCHES</t>
  </si>
  <si>
    <t>Amount AS PER TENDER</t>
  </si>
  <si>
    <t>Amount AS PER DESIGN</t>
  </si>
  <si>
    <t xml:space="preserve">ITEM NO :1A Excavation for deep trenches for laying rising  </t>
  </si>
  <si>
    <t>ITEM NO :2 EXCAVATION IN SOFT STARTA</t>
  </si>
  <si>
    <t>ITEM NO :3 MURUM BEDDING</t>
  </si>
  <si>
    <t>ITEM NO : 4 BACKFILLING</t>
  </si>
  <si>
    <t xml:space="preserve">mm </t>
  </si>
  <si>
    <t>Item No. 9:- Air valves</t>
  </si>
  <si>
    <t>Item No. 10:- Air valves shaft</t>
  </si>
  <si>
    <t>Item No. 11:-  M15</t>
  </si>
  <si>
    <t>Item No. 12:-  M20</t>
  </si>
  <si>
    <r>
      <rPr>
        <b/>
        <sz val="8"/>
        <rFont val="Century Gothic"/>
        <family val="2"/>
      </rPr>
      <t>Item No. 8:- Providing and supplying Prestressed
Concrete Cylinder Pipes suitable for sliding ovrelap</t>
    </r>
  </si>
  <si>
    <r>
      <rPr>
        <b/>
        <sz val="8"/>
        <rFont val="Century Gothic"/>
        <family val="2"/>
      </rPr>
      <t>Item No.13:-Providing and fixing in position TMT  -
FE  -  500  bar  reinforcement  of  various</t>
    </r>
  </si>
  <si>
    <r>
      <rPr>
        <b/>
        <sz val="8"/>
        <rFont val="Century Gothic"/>
        <family val="2"/>
      </rPr>
      <t>Item No. 14:- Providing, supplying &amp; erecting of CI
double flange sluice valve confirming for IS-14846</t>
    </r>
  </si>
  <si>
    <r>
      <rPr>
        <b/>
        <sz val="8"/>
        <rFont val="Century Gothic"/>
        <family val="2"/>
      </rPr>
      <t>Item o. 15:-  Providing and fixing M.S. chequerred
plate flooring of following thickness supported on</t>
    </r>
  </si>
  <si>
    <r>
      <rPr>
        <b/>
        <sz val="8"/>
        <rFont val="Century Gothic"/>
        <family val="2"/>
      </rPr>
      <t>Item No. 16:- Preparation of upto date digital
command maps showing Juridiction of W.U.A. with</t>
    </r>
  </si>
  <si>
    <r>
      <rPr>
        <b/>
        <sz val="8"/>
        <rFont val="Century Gothic"/>
        <family val="2"/>
      </rPr>
      <t>Item No. 17:- Preparation and Publication of
Benificiers list of WUA etc. Complete</t>
    </r>
  </si>
  <si>
    <r>
      <rPr>
        <b/>
        <sz val="8"/>
        <rFont val="Century Gothic"/>
        <family val="2"/>
      </rPr>
      <t>Item No. 18:- Providing and making arrangemens
for Holding of  WUA Election as per instructions of</t>
    </r>
  </si>
  <si>
    <r>
      <rPr>
        <b/>
        <sz val="8"/>
        <rFont val="Century Gothic"/>
        <family val="2"/>
      </rPr>
      <t>Item No. 19:- Capacity Building of WUA -Arranging
and conducting Meetings and Trainings to</t>
    </r>
  </si>
  <si>
    <r>
      <rPr>
        <b/>
        <sz val="8"/>
        <rFont val="Century Gothic"/>
        <family val="2"/>
      </rPr>
      <t>Item No. 22:- Manufacturing, providing and
supplying tapers, "Y" connection with crotch plate,</t>
    </r>
  </si>
  <si>
    <r>
      <rPr>
        <b/>
        <sz val="8"/>
        <rFont val="Century Gothic"/>
        <family val="2"/>
      </rPr>
      <t>Item No. 23:- Hydraulic testing of H. D. P. E. pipe
line to specified pressure including cost of all</t>
    </r>
  </si>
  <si>
    <r>
      <rPr>
        <b/>
        <sz val="8"/>
        <rFont val="Century Gothic"/>
        <family val="2"/>
      </rPr>
      <t>Item No. 24:- Hydraulic testing of Pre-Stressed
Cement Concrete Pipes with rubber ring joints to</t>
    </r>
  </si>
  <si>
    <r>
      <rPr>
        <b/>
        <sz val="8"/>
        <rFont val="Century Gothic"/>
        <family val="2"/>
      </rPr>
      <t>Item No. 25:-Providing, Laying, Jointing, Painting &amp;
Identification Numbering to R.C.C. pipe of 1200</t>
    </r>
  </si>
  <si>
    <r>
      <rPr>
        <b/>
        <sz val="8"/>
        <rFont val="Century Gothic"/>
        <family val="2"/>
      </rPr>
      <t>Item No. 33:-Providing and fixing mild steel grill
work for windows, ventilators, etc. 15</t>
    </r>
  </si>
  <si>
    <r>
      <rPr>
        <b/>
        <sz val="8"/>
        <rFont val="Century Gothic"/>
        <family val="2"/>
      </rPr>
      <t>Item No. 34:- Supplying, installing, testing and
commissioning of 1 kWp off grid  solar power pack</t>
    </r>
  </si>
  <si>
    <r>
      <rPr>
        <b/>
        <sz val="8"/>
        <rFont val="Century Gothic"/>
        <family val="2"/>
      </rPr>
      <t>Item No. 35:-Preparation of detailed construction
plan for pipe distribution network system including</t>
    </r>
  </si>
  <si>
    <r>
      <rPr>
        <b/>
        <sz val="8"/>
        <rFont val="Century Gothic"/>
        <family val="2"/>
      </rPr>
      <t>Item No. 36:-Providing assistance in collecting data
for preparation of voter list from relevanat</t>
    </r>
  </si>
  <si>
    <r>
      <rPr>
        <b/>
        <sz val="8"/>
        <rFont val="Century Gothic"/>
        <family val="2"/>
      </rPr>
      <t>Item No. 37:-Five year operation maintenance, and
repair  and  of pipe distribution network ,consists of</t>
    </r>
  </si>
  <si>
    <t>Item No. 26:-Providing B.B. masonry with</t>
  </si>
  <si>
    <t>Dudhara Minor @ RD 1300 m</t>
  </si>
  <si>
    <t>Cost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</si>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</sst>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 [$₹-4009]\ * #,##0.00_ ;_ [$₹-4009]\ * \-#,##0.00_ ;_ [$₹-4009]\ * &quot;-&quot;??_ ;_ @_ "/>
    <numFmt numFmtId="166" formatCode="&quot;₹&quot;\ #,##0.00"/>
  </numFmts>
  <fonts count="15" x14ac:knownFonts="1">
    <font>
      <sz val="10"/>
      <color rgb="FF000000"/>
      <name val="Times New Roman"/>
      <charset val="204"/>
    </font>
    <font>
      <sz val="8"/>
      <color rgb="FF000000"/>
      <name val="Century Gothic"/>
      <family val="2"/>
    </font>
    <font>
      <b/>
      <sz val="8"/>
      <name val="Century Gothic"/>
      <family val="2"/>
    </font>
    <font>
      <sz val="8"/>
      <name val="Century Gothic"/>
      <family val="2"/>
    </font>
    <font>
      <b/>
      <sz val="8"/>
      <color rgb="FF000000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10"/>
      <color rgb="FF000000"/>
      <name val="Times New Roman"/>
      <family val="1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9" tint="-0.249977111117893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3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9" fontId="1" fillId="0" borderId="0" xfId="1" applyFont="1" applyAlignment="1">
      <alignment horizontal="center" vertical="center" wrapText="1"/>
    </xf>
    <xf numFmtId="166" fontId="0" fillId="0" borderId="0" xfId="0" applyNumberFormat="1" applyAlignment="1">
      <alignment horizontal="left" vertical="top"/>
    </xf>
    <xf numFmtId="166" fontId="0" fillId="0" borderId="1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2" fontId="4" fillId="10" borderId="19" xfId="0" applyNumberFormat="1" applyFont="1" applyFill="1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/>
    </xf>
    <xf numFmtId="2" fontId="0" fillId="10" borderId="19" xfId="0" applyNumberFormat="1" applyFill="1" applyBorder="1" applyAlignment="1">
      <alignment horizontal="center" vertical="center"/>
    </xf>
    <xf numFmtId="2" fontId="4" fillId="12" borderId="19" xfId="0" applyNumberFormat="1" applyFont="1" applyFill="1" applyBorder="1" applyAlignment="1">
      <alignment horizontal="center" vertical="center" wrapText="1"/>
    </xf>
    <xf numFmtId="166" fontId="0" fillId="12" borderId="19" xfId="0" applyNumberFormat="1" applyFill="1" applyBorder="1" applyAlignment="1">
      <alignment horizontal="center" vertical="center"/>
    </xf>
    <xf numFmtId="2" fontId="0" fillId="12" borderId="19" xfId="0" applyNumberFormat="1" applyFill="1" applyBorder="1" applyAlignment="1">
      <alignment horizontal="center" vertical="center"/>
    </xf>
    <xf numFmtId="166" fontId="0" fillId="10" borderId="19" xfId="0" applyNumberFormat="1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 wrapText="1"/>
    </xf>
    <xf numFmtId="166" fontId="0" fillId="11" borderId="19" xfId="0" applyNumberFormat="1" applyFill="1" applyBorder="1" applyAlignment="1">
      <alignment horizontal="center" vertical="center"/>
    </xf>
    <xf numFmtId="10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 shrinkToFit="1"/>
    </xf>
    <xf numFmtId="2" fontId="4" fillId="9" borderId="19" xfId="0" applyNumberFormat="1" applyFont="1" applyFill="1" applyBorder="1" applyAlignment="1">
      <alignment horizontal="center" vertical="center" wrapText="1" shrinkToFit="1"/>
    </xf>
    <xf numFmtId="2" fontId="4" fillId="0" borderId="19" xfId="0" applyNumberFormat="1" applyFont="1" applyBorder="1" applyAlignment="1">
      <alignment horizontal="center" vertical="center" wrapText="1" shrinkToFit="1"/>
    </xf>
    <xf numFmtId="2" fontId="1" fillId="0" borderId="0" xfId="0" applyNumberFormat="1" applyFont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1" fontId="1" fillId="0" borderId="17" xfId="0" applyNumberFormat="1" applyFont="1" applyBorder="1" applyAlignment="1">
      <alignment horizontal="center" vertical="center" wrapText="1" shrinkToFi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166" fontId="4" fillId="0" borderId="20" xfId="0" applyNumberFormat="1" applyFont="1" applyBorder="1" applyAlignment="1">
      <alignment horizontal="center" vertical="center" wrapText="1" shrinkToFit="1"/>
    </xf>
    <xf numFmtId="1" fontId="4" fillId="0" borderId="19" xfId="0" applyNumberFormat="1" applyFont="1" applyBorder="1" applyAlignment="1">
      <alignment horizontal="center" vertical="center" wrapText="1" shrinkToFit="1"/>
    </xf>
    <xf numFmtId="166" fontId="1" fillId="0" borderId="0" xfId="0" applyNumberFormat="1" applyFont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1" fontId="1" fillId="0" borderId="18" xfId="0" applyNumberFormat="1" applyFont="1" applyBorder="1" applyAlignment="1">
      <alignment horizontal="center" vertical="center" wrapText="1" shrinkToFi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1" fontId="4" fillId="4" borderId="2" xfId="0" applyNumberFormat="1" applyFont="1" applyFill="1" applyBorder="1" applyAlignment="1">
      <alignment horizontal="center" vertical="center" wrapText="1" shrinkToFit="1"/>
    </xf>
    <xf numFmtId="1" fontId="4" fillId="3" borderId="2" xfId="0" applyNumberFormat="1" applyFont="1" applyFill="1" applyBorder="1" applyAlignment="1">
      <alignment horizontal="center" vertical="center" wrapText="1" shrinkToFit="1"/>
    </xf>
    <xf numFmtId="1" fontId="4" fillId="7" borderId="2" xfId="0" applyNumberFormat="1" applyFont="1" applyFill="1" applyBorder="1" applyAlignment="1">
      <alignment horizontal="center" vertical="center" wrapText="1" shrinkToFit="1"/>
    </xf>
    <xf numFmtId="1" fontId="6" fillId="5" borderId="2" xfId="0" applyNumberFormat="1" applyFont="1" applyFill="1" applyBorder="1" applyAlignment="1">
      <alignment horizontal="center" vertical="center" wrapText="1" shrinkToFit="1"/>
    </xf>
    <xf numFmtId="1" fontId="4" fillId="6" borderId="2" xfId="0" applyNumberFormat="1" applyFont="1" applyFill="1" applyBorder="1" applyAlignment="1">
      <alignment horizontal="center" vertical="center" wrapText="1" shrinkToFit="1"/>
    </xf>
    <xf numFmtId="1" fontId="4" fillId="8" borderId="2" xfId="0" applyNumberFormat="1" applyFont="1" applyFill="1" applyBorder="1" applyAlignment="1">
      <alignment horizontal="center" vertical="center" wrapText="1" shrinkToFit="1"/>
    </xf>
    <xf numFmtId="1" fontId="4" fillId="2" borderId="2" xfId="0" applyNumberFormat="1" applyFont="1" applyFill="1" applyBorder="1" applyAlignment="1">
      <alignment horizontal="center" vertical="center" wrapText="1" shrinkToFit="1"/>
    </xf>
    <xf numFmtId="1" fontId="4" fillId="0" borderId="10" xfId="0" applyNumberFormat="1" applyFont="1" applyBorder="1" applyAlignment="1">
      <alignment horizontal="center" vertical="center" wrapText="1" shrinkToFit="1"/>
    </xf>
    <xf numFmtId="1" fontId="1" fillId="0" borderId="0" xfId="0" applyNumberFormat="1" applyFont="1" applyAlignment="1">
      <alignment horizontal="left" vertical="center" wrapText="1"/>
    </xf>
    <xf numFmtId="10" fontId="1" fillId="0" borderId="0" xfId="1" applyNumberFormat="1" applyFont="1" applyAlignment="1">
      <alignment horizontal="left" vertical="center" wrapText="1"/>
    </xf>
    <xf numFmtId="2" fontId="1" fillId="0" borderId="17" xfId="0" applyNumberFormat="1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left" vertical="center" wrapText="1"/>
    </xf>
    <xf numFmtId="2" fontId="1" fillId="0" borderId="2" xfId="0" applyNumberFormat="1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66" fontId="1" fillId="0" borderId="19" xfId="0" applyNumberFormat="1" applyFont="1" applyBorder="1" applyAlignment="1">
      <alignment horizontal="center" vertical="center" wrapText="1"/>
    </xf>
    <xf numFmtId="166" fontId="1" fillId="0" borderId="21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1" fontId="1" fillId="0" borderId="11" xfId="0" applyNumberFormat="1" applyFont="1" applyBorder="1" applyAlignment="1">
      <alignment horizontal="center" vertical="center" wrapText="1" shrinkToFit="1"/>
    </xf>
    <xf numFmtId="0" fontId="3" fillId="0" borderId="8" xfId="0" applyFont="1" applyBorder="1" applyAlignment="1">
      <alignment horizontal="right" vertical="center" wrapText="1"/>
    </xf>
    <xf numFmtId="1" fontId="1" fillId="0" borderId="8" xfId="0" applyNumberFormat="1" applyFont="1" applyBorder="1" applyAlignment="1">
      <alignment horizontal="center" vertical="center" wrapText="1" shrinkToFit="1"/>
    </xf>
    <xf numFmtId="2" fontId="1" fillId="0" borderId="8" xfId="0" applyNumberFormat="1" applyFont="1" applyBorder="1" applyAlignment="1">
      <alignment horizontal="center" vertical="center" wrapText="1" shrinkToFit="1"/>
    </xf>
    <xf numFmtId="2" fontId="1" fillId="8" borderId="8" xfId="0" applyNumberFormat="1" applyFont="1" applyFill="1" applyBorder="1" applyAlignment="1">
      <alignment horizontal="center" vertical="center" wrapText="1" shrinkToFit="1"/>
    </xf>
    <xf numFmtId="1" fontId="1" fillId="8" borderId="25" xfId="0" applyNumberFormat="1" applyFont="1" applyFill="1" applyBorder="1" applyAlignment="1">
      <alignment horizontal="center" vertical="center" wrapText="1" shrinkToFit="1"/>
    </xf>
    <xf numFmtId="2" fontId="1" fillId="0" borderId="9" xfId="0" applyNumberFormat="1" applyFont="1" applyBorder="1" applyAlignment="1">
      <alignment horizontal="center" vertical="center" wrapText="1" shrinkToFit="1"/>
    </xf>
    <xf numFmtId="2" fontId="6" fillId="5" borderId="19" xfId="0" applyNumberFormat="1" applyFont="1" applyFill="1" applyBorder="1" applyAlignment="1">
      <alignment horizontal="center" vertical="center" wrapText="1" shrinkToFit="1"/>
    </xf>
    <xf numFmtId="2" fontId="4" fillId="6" borderId="19" xfId="0" applyNumberFormat="1" applyFont="1" applyFill="1" applyBorder="1" applyAlignment="1">
      <alignment horizontal="center" vertical="center" wrapText="1" shrinkToFit="1"/>
    </xf>
    <xf numFmtId="164" fontId="4" fillId="8" borderId="19" xfId="0" applyNumberFormat="1" applyFont="1" applyFill="1" applyBorder="1" applyAlignment="1">
      <alignment horizontal="center" vertical="center" wrapText="1" shrinkToFit="1"/>
    </xf>
    <xf numFmtId="2" fontId="4" fillId="2" borderId="19" xfId="0" applyNumberFormat="1" applyFont="1" applyFill="1" applyBorder="1" applyAlignment="1">
      <alignment horizontal="center" vertical="center" wrapText="1" shrinkToFit="1"/>
    </xf>
    <xf numFmtId="165" fontId="3" fillId="0" borderId="19" xfId="0" applyNumberFormat="1" applyFont="1" applyBorder="1" applyAlignment="1">
      <alignment horizontal="center" vertical="center" wrapText="1"/>
    </xf>
    <xf numFmtId="2" fontId="4" fillId="4" borderId="19" xfId="0" applyNumberFormat="1" applyFont="1" applyFill="1" applyBorder="1" applyAlignment="1">
      <alignment horizontal="center" vertical="center" wrapText="1" shrinkToFit="1"/>
    </xf>
    <xf numFmtId="164" fontId="4" fillId="3" borderId="19" xfId="0" applyNumberFormat="1" applyFont="1" applyFill="1" applyBorder="1" applyAlignment="1">
      <alignment horizontal="center" vertical="center" wrapText="1" shrinkToFit="1"/>
    </xf>
    <xf numFmtId="2" fontId="4" fillId="7" borderId="19" xfId="0" applyNumberFormat="1" applyFont="1" applyFill="1" applyBorder="1" applyAlignment="1">
      <alignment horizontal="center" vertical="center" wrapText="1" shrinkToFit="1"/>
    </xf>
    <xf numFmtId="0" fontId="2" fillId="0" borderId="19" xfId="0" applyFont="1" applyBorder="1" applyAlignment="1">
      <alignment horizontal="center" vertical="center" wrapText="1"/>
    </xf>
    <xf numFmtId="1" fontId="8" fillId="0" borderId="19" xfId="0" applyNumberFormat="1" applyFont="1" applyBorder="1" applyAlignment="1">
      <alignment horizontal="center" vertical="top" wrapText="1"/>
    </xf>
    <xf numFmtId="1" fontId="8" fillId="0" borderId="19" xfId="0" applyNumberFormat="1" applyFont="1" applyBorder="1" applyAlignment="1">
      <alignment vertical="top" wrapText="1"/>
    </xf>
    <xf numFmtId="1" fontId="8" fillId="0" borderId="19" xfId="0" applyNumberFormat="1" applyFont="1" applyBorder="1" applyAlignment="1">
      <alignment horizontal="left" vertical="top" wrapText="1"/>
    </xf>
    <xf numFmtId="166" fontId="8" fillId="0" borderId="19" xfId="0" applyNumberFormat="1" applyFont="1" applyBorder="1" applyAlignment="1">
      <alignment horizontal="center" vertical="top" wrapText="1"/>
    </xf>
    <xf numFmtId="0" fontId="9" fillId="0" borderId="19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 wrapText="1" shrinkToFit="1"/>
    </xf>
    <xf numFmtId="2" fontId="1" fillId="8" borderId="19" xfId="0" applyNumberFormat="1" applyFont="1" applyFill="1" applyBorder="1" applyAlignment="1">
      <alignment horizontal="center" vertical="center" wrapText="1" shrinkToFit="1"/>
    </xf>
    <xf numFmtId="1" fontId="1" fillId="8" borderId="19" xfId="0" applyNumberFormat="1" applyFont="1" applyFill="1" applyBorder="1" applyAlignment="1">
      <alignment horizontal="center" vertical="center" wrapText="1" shrinkToFit="1"/>
    </xf>
    <xf numFmtId="0" fontId="3" fillId="0" borderId="19" xfId="0" applyFont="1" applyBorder="1" applyAlignment="1">
      <alignment horizontal="right" vertical="center" wrapText="1"/>
    </xf>
    <xf numFmtId="1" fontId="1" fillId="0" borderId="19" xfId="0" applyNumberFormat="1" applyFont="1" applyBorder="1" applyAlignment="1">
      <alignment horizontal="center" vertical="center" wrapText="1" shrinkToFi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166" fontId="3" fillId="0" borderId="8" xfId="0" applyNumberFormat="1" applyFont="1" applyBorder="1" applyAlignment="1">
      <alignment horizontal="center" vertical="center" wrapText="1"/>
    </xf>
    <xf numFmtId="2" fontId="5" fillId="5" borderId="19" xfId="0" applyNumberFormat="1" applyFont="1" applyFill="1" applyBorder="1" applyAlignment="1">
      <alignment horizontal="center" vertical="center" wrapText="1" shrinkToFit="1"/>
    </xf>
    <xf numFmtId="2" fontId="1" fillId="6" borderId="19" xfId="0" applyNumberFormat="1" applyFont="1" applyFill="1" applyBorder="1" applyAlignment="1">
      <alignment horizontal="center" vertical="center" wrapText="1" shrinkToFit="1"/>
    </xf>
    <xf numFmtId="164" fontId="1" fillId="8" borderId="19" xfId="0" applyNumberFormat="1" applyFont="1" applyFill="1" applyBorder="1" applyAlignment="1">
      <alignment horizontal="center" vertical="center" wrapText="1" shrinkToFit="1"/>
    </xf>
    <xf numFmtId="2" fontId="1" fillId="2" borderId="19" xfId="0" applyNumberFormat="1" applyFont="1" applyFill="1" applyBorder="1" applyAlignment="1">
      <alignment horizontal="center" vertical="center" wrapText="1" shrinkToFit="1"/>
    </xf>
    <xf numFmtId="2" fontId="1" fillId="4" borderId="19" xfId="0" applyNumberFormat="1" applyFont="1" applyFill="1" applyBorder="1" applyAlignment="1">
      <alignment horizontal="center" vertical="center" wrapText="1" shrinkToFit="1"/>
    </xf>
    <xf numFmtId="164" fontId="1" fillId="3" borderId="19" xfId="0" applyNumberFormat="1" applyFont="1" applyFill="1" applyBorder="1" applyAlignment="1">
      <alignment horizontal="center" vertical="center" wrapText="1" shrinkToFit="1"/>
    </xf>
    <xf numFmtId="2" fontId="1" fillId="7" borderId="19" xfId="0" applyNumberFormat="1" applyFont="1" applyFill="1" applyBorder="1" applyAlignment="1">
      <alignment horizontal="center" vertical="center" wrapText="1" shrinkToFit="1"/>
    </xf>
    <xf numFmtId="2" fontId="1" fillId="0" borderId="19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1" fontId="1" fillId="4" borderId="17" xfId="0" applyNumberFormat="1" applyFont="1" applyFill="1" applyBorder="1" applyAlignment="1">
      <alignment horizontal="center" vertical="top" wrapText="1" shrinkToFit="1"/>
    </xf>
    <xf numFmtId="1" fontId="1" fillId="3" borderId="17" xfId="0" applyNumberFormat="1" applyFont="1" applyFill="1" applyBorder="1" applyAlignment="1">
      <alignment horizontal="center" vertical="top" wrapText="1" shrinkToFit="1"/>
    </xf>
    <xf numFmtId="1" fontId="1" fillId="7" borderId="17" xfId="0" applyNumberFormat="1" applyFont="1" applyFill="1" applyBorder="1" applyAlignment="1">
      <alignment horizontal="center" vertical="top" wrapText="1" shrinkToFit="1"/>
    </xf>
    <xf numFmtId="1" fontId="5" fillId="5" borderId="17" xfId="0" applyNumberFormat="1" applyFont="1" applyFill="1" applyBorder="1" applyAlignment="1">
      <alignment horizontal="center" vertical="top" wrapText="1" shrinkToFit="1"/>
    </xf>
    <xf numFmtId="1" fontId="1" fillId="6" borderId="17" xfId="0" applyNumberFormat="1" applyFont="1" applyFill="1" applyBorder="1" applyAlignment="1">
      <alignment horizontal="center" vertical="top" wrapText="1" shrinkToFit="1"/>
    </xf>
    <xf numFmtId="1" fontId="1" fillId="8" borderId="17" xfId="0" applyNumberFormat="1" applyFont="1" applyFill="1" applyBorder="1" applyAlignment="1">
      <alignment horizontal="center" vertical="top" wrapText="1" shrinkToFit="1"/>
    </xf>
    <xf numFmtId="1" fontId="1" fillId="2" borderId="17" xfId="0" applyNumberFormat="1" applyFont="1" applyFill="1" applyBorder="1" applyAlignment="1">
      <alignment horizontal="center" vertical="top" wrapText="1" shrinkToFit="1"/>
    </xf>
    <xf numFmtId="1" fontId="1" fillId="4" borderId="18" xfId="0" applyNumberFormat="1" applyFont="1" applyFill="1" applyBorder="1" applyAlignment="1">
      <alignment horizontal="center" vertical="top" wrapText="1" shrinkToFit="1"/>
    </xf>
    <xf numFmtId="1" fontId="1" fillId="3" borderId="18" xfId="0" applyNumberFormat="1" applyFont="1" applyFill="1" applyBorder="1" applyAlignment="1">
      <alignment horizontal="center" vertical="top" wrapText="1" shrinkToFit="1"/>
    </xf>
    <xf numFmtId="1" fontId="1" fillId="7" borderId="18" xfId="0" applyNumberFormat="1" applyFont="1" applyFill="1" applyBorder="1" applyAlignment="1">
      <alignment horizontal="center" vertical="top" wrapText="1" shrinkToFit="1"/>
    </xf>
    <xf numFmtId="1" fontId="5" fillId="5" borderId="18" xfId="0" applyNumberFormat="1" applyFont="1" applyFill="1" applyBorder="1" applyAlignment="1">
      <alignment horizontal="center" vertical="top" wrapText="1" shrinkToFit="1"/>
    </xf>
    <xf numFmtId="1" fontId="1" fillId="6" borderId="18" xfId="0" applyNumberFormat="1" applyFont="1" applyFill="1" applyBorder="1" applyAlignment="1">
      <alignment horizontal="center" vertical="top" wrapText="1" shrinkToFit="1"/>
    </xf>
    <xf numFmtId="1" fontId="1" fillId="8" borderId="18" xfId="0" applyNumberFormat="1" applyFont="1" applyFill="1" applyBorder="1" applyAlignment="1">
      <alignment horizontal="center" vertical="top" wrapText="1" shrinkToFit="1"/>
    </xf>
    <xf numFmtId="1" fontId="1" fillId="2" borderId="18" xfId="0" applyNumberFormat="1" applyFont="1" applyFill="1" applyBorder="1" applyAlignment="1">
      <alignment horizontal="center" vertical="top" wrapText="1" shrinkToFit="1"/>
    </xf>
    <xf numFmtId="2" fontId="1" fillId="7" borderId="2" xfId="0" applyNumberFormat="1" applyFont="1" applyFill="1" applyBorder="1" applyAlignment="1">
      <alignment horizontal="center" vertical="top" wrapText="1" shrinkToFit="1"/>
    </xf>
    <xf numFmtId="1" fontId="1" fillId="0" borderId="20" xfId="0" applyNumberFormat="1" applyFont="1" applyBorder="1" applyAlignment="1">
      <alignment horizontal="left" vertical="center" wrapText="1"/>
    </xf>
    <xf numFmtId="166" fontId="4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 shrinkToFit="1"/>
    </xf>
    <xf numFmtId="2" fontId="1" fillId="0" borderId="7" xfId="0" applyNumberFormat="1" applyFont="1" applyBorder="1" applyAlignment="1">
      <alignment horizontal="center" vertical="center" wrapText="1" shrinkToFit="1"/>
    </xf>
    <xf numFmtId="2" fontId="1" fillId="0" borderId="12" xfId="0" applyNumberFormat="1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center" vertical="center" wrapText="1"/>
    </xf>
    <xf numFmtId="165" fontId="3" fillId="0" borderId="24" xfId="0" applyNumberFormat="1" applyFont="1" applyBorder="1" applyAlignment="1">
      <alignment horizontal="center" vertical="center" wrapText="1"/>
    </xf>
    <xf numFmtId="166" fontId="1" fillId="0" borderId="19" xfId="0" applyNumberFormat="1" applyFont="1" applyBorder="1" applyAlignment="1">
      <alignment horizontal="center" vertical="top" wrapText="1"/>
    </xf>
    <xf numFmtId="166" fontId="1" fillId="0" borderId="19" xfId="0" applyNumberFormat="1" applyFont="1" applyBorder="1" applyAlignment="1">
      <alignment horizontal="left" vertical="center" wrapText="1"/>
    </xf>
    <xf numFmtId="166" fontId="3" fillId="0" borderId="19" xfId="0" applyNumberFormat="1" applyFont="1" applyBorder="1" applyAlignment="1">
      <alignment horizontal="center" vertical="center" wrapText="1"/>
    </xf>
    <xf numFmtId="166" fontId="3" fillId="0" borderId="19" xfId="0" applyNumberFormat="1" applyFont="1" applyBorder="1" applyAlignment="1">
      <alignment horizontal="left" vertical="center" wrapText="1"/>
    </xf>
    <xf numFmtId="166" fontId="1" fillId="0" borderId="19" xfId="0" applyNumberFormat="1" applyFont="1" applyBorder="1" applyAlignment="1">
      <alignment horizontal="center" vertical="center" wrapText="1" shrinkToFit="1"/>
    </xf>
    <xf numFmtId="0" fontId="1" fillId="0" borderId="19" xfId="0" applyFont="1" applyBorder="1" applyAlignment="1">
      <alignment horizontal="center" vertical="center" wrapText="1"/>
    </xf>
    <xf numFmtId="2" fontId="1" fillId="0" borderId="22" xfId="0" applyNumberFormat="1" applyFont="1" applyBorder="1" applyAlignment="1">
      <alignment horizontal="center" vertical="center" wrapText="1"/>
    </xf>
    <xf numFmtId="164" fontId="4" fillId="3" borderId="22" xfId="0" applyNumberFormat="1" applyFont="1" applyFill="1" applyBorder="1" applyAlignment="1">
      <alignment horizontal="center" vertical="center" wrapText="1" shrinkToFit="1"/>
    </xf>
    <xf numFmtId="164" fontId="1" fillId="3" borderId="22" xfId="0" applyNumberFormat="1" applyFont="1" applyFill="1" applyBorder="1" applyAlignment="1">
      <alignment horizontal="center" vertical="center" wrapText="1" shrinkToFit="1"/>
    </xf>
    <xf numFmtId="2" fontId="1" fillId="0" borderId="6" xfId="0" applyNumberFormat="1" applyFont="1" applyBorder="1" applyAlignment="1">
      <alignment horizontal="center" vertical="center" wrapText="1" shrinkToFit="1"/>
    </xf>
    <xf numFmtId="2" fontId="1" fillId="0" borderId="10" xfId="0" applyNumberFormat="1" applyFont="1" applyBorder="1" applyAlignment="1">
      <alignment horizontal="center" vertical="center" wrapText="1" shrinkToFit="1"/>
    </xf>
    <xf numFmtId="2" fontId="1" fillId="7" borderId="20" xfId="0" applyNumberFormat="1" applyFont="1" applyFill="1" applyBorder="1" applyAlignment="1">
      <alignment horizontal="center" vertical="center" wrapText="1" shrinkToFit="1"/>
    </xf>
    <xf numFmtId="2" fontId="4" fillId="7" borderId="20" xfId="0" applyNumberFormat="1" applyFont="1" applyFill="1" applyBorder="1" applyAlignment="1">
      <alignment horizontal="center" vertical="center" wrapText="1" shrinkToFit="1"/>
    </xf>
    <xf numFmtId="1" fontId="1" fillId="0" borderId="19" xfId="0" applyNumberFormat="1" applyFont="1" applyBorder="1" applyAlignment="1">
      <alignment horizontal="center" vertical="center" wrapText="1"/>
    </xf>
    <xf numFmtId="1" fontId="1" fillId="4" borderId="16" xfId="0" applyNumberFormat="1" applyFont="1" applyFill="1" applyBorder="1" applyAlignment="1">
      <alignment horizontal="center" vertical="top" wrapText="1" shrinkToFit="1"/>
    </xf>
    <xf numFmtId="1" fontId="1" fillId="3" borderId="16" xfId="0" applyNumberFormat="1" applyFont="1" applyFill="1" applyBorder="1" applyAlignment="1">
      <alignment horizontal="center" vertical="top" wrapText="1" shrinkToFit="1"/>
    </xf>
    <xf numFmtId="1" fontId="1" fillId="7" borderId="16" xfId="0" applyNumberFormat="1" applyFont="1" applyFill="1" applyBorder="1" applyAlignment="1">
      <alignment horizontal="center" vertical="top" wrapText="1" shrinkToFit="1"/>
    </xf>
    <xf numFmtId="1" fontId="5" fillId="5" borderId="16" xfId="0" applyNumberFormat="1" applyFont="1" applyFill="1" applyBorder="1" applyAlignment="1">
      <alignment horizontal="center" vertical="top" wrapText="1" shrinkToFit="1"/>
    </xf>
    <xf numFmtId="1" fontId="1" fillId="6" borderId="16" xfId="0" applyNumberFormat="1" applyFont="1" applyFill="1" applyBorder="1" applyAlignment="1">
      <alignment horizontal="center" vertical="top" wrapText="1" shrinkToFit="1"/>
    </xf>
    <xf numFmtId="1" fontId="1" fillId="8" borderId="16" xfId="0" applyNumberFormat="1" applyFont="1" applyFill="1" applyBorder="1" applyAlignment="1">
      <alignment horizontal="center" vertical="top" wrapText="1" shrinkToFit="1"/>
    </xf>
    <xf numFmtId="1" fontId="1" fillId="2" borderId="16" xfId="0" applyNumberFormat="1" applyFont="1" applyFill="1" applyBorder="1" applyAlignment="1">
      <alignment horizontal="center" vertical="top" wrapText="1" shrinkToFit="1"/>
    </xf>
    <xf numFmtId="1" fontId="1" fillId="14" borderId="16" xfId="0" applyNumberFormat="1" applyFont="1" applyFill="1" applyBorder="1" applyAlignment="1">
      <alignment horizontal="center" vertical="top" wrapText="1" shrinkToFit="1"/>
    </xf>
    <xf numFmtId="1" fontId="1" fillId="14" borderId="17" xfId="0" applyNumberFormat="1" applyFont="1" applyFill="1" applyBorder="1" applyAlignment="1">
      <alignment horizontal="center" vertical="top" wrapText="1" shrinkToFit="1"/>
    </xf>
    <xf numFmtId="1" fontId="1" fillId="14" borderId="18" xfId="0" applyNumberFormat="1" applyFont="1" applyFill="1" applyBorder="1" applyAlignment="1">
      <alignment horizontal="center" vertical="top" wrapText="1" shrinkToFit="1"/>
    </xf>
    <xf numFmtId="2" fontId="1" fillId="0" borderId="3" xfId="0" applyNumberFormat="1" applyFont="1" applyBorder="1" applyAlignment="1">
      <alignment horizontal="center" vertical="center" wrapText="1" shrinkToFit="1"/>
    </xf>
    <xf numFmtId="2" fontId="1" fillId="0" borderId="0" xfId="0" applyNumberFormat="1" applyFont="1" applyAlignment="1">
      <alignment horizontal="center" vertical="center" wrapText="1" shrinkToFit="1"/>
    </xf>
    <xf numFmtId="0" fontId="4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top" wrapText="1" shrinkToFit="1"/>
    </xf>
    <xf numFmtId="164" fontId="4" fillId="3" borderId="2" xfId="0" applyNumberFormat="1" applyFont="1" applyFill="1" applyBorder="1" applyAlignment="1">
      <alignment horizontal="center" vertical="top" wrapText="1" shrinkToFit="1"/>
    </xf>
    <xf numFmtId="2" fontId="4" fillId="7" borderId="2" xfId="0" applyNumberFormat="1" applyFont="1" applyFill="1" applyBorder="1" applyAlignment="1">
      <alignment horizontal="center" vertical="top" wrapText="1" shrinkToFit="1"/>
    </xf>
    <xf numFmtId="2" fontId="6" fillId="5" borderId="2" xfId="0" applyNumberFormat="1" applyFont="1" applyFill="1" applyBorder="1" applyAlignment="1">
      <alignment horizontal="center" vertical="top" wrapText="1" shrinkToFit="1"/>
    </xf>
    <xf numFmtId="2" fontId="4" fillId="6" borderId="2" xfId="0" applyNumberFormat="1" applyFont="1" applyFill="1" applyBorder="1" applyAlignment="1">
      <alignment horizontal="center" vertical="top" wrapText="1" shrinkToFit="1"/>
    </xf>
    <xf numFmtId="164" fontId="4" fillId="8" borderId="2" xfId="0" applyNumberFormat="1" applyFont="1" applyFill="1" applyBorder="1" applyAlignment="1">
      <alignment horizontal="center" vertical="top" wrapText="1" shrinkToFit="1"/>
    </xf>
    <xf numFmtId="2" fontId="4" fillId="8" borderId="2" xfId="0" applyNumberFormat="1" applyFont="1" applyFill="1" applyBorder="1" applyAlignment="1">
      <alignment horizontal="center" vertical="top" wrapText="1" shrinkToFit="1"/>
    </xf>
    <xf numFmtId="2" fontId="4" fillId="2" borderId="2" xfId="0" applyNumberFormat="1" applyFont="1" applyFill="1" applyBorder="1" applyAlignment="1">
      <alignment horizontal="center" vertical="top" wrapText="1" shrinkToFit="1"/>
    </xf>
    <xf numFmtId="2" fontId="4" fillId="14" borderId="2" xfId="0" applyNumberFormat="1" applyFont="1" applyFill="1" applyBorder="1" applyAlignment="1">
      <alignment horizontal="center" vertical="top" wrapText="1" shrinkToFit="1"/>
    </xf>
    <xf numFmtId="0" fontId="1" fillId="4" borderId="8" xfId="0" applyFont="1" applyFill="1" applyBorder="1" applyAlignment="1">
      <alignment horizontal="left" wrapText="1"/>
    </xf>
    <xf numFmtId="0" fontId="1" fillId="3" borderId="8" xfId="0" applyFont="1" applyFill="1" applyBorder="1" applyAlignment="1">
      <alignment horizontal="left" wrapText="1"/>
    </xf>
    <xf numFmtId="0" fontId="1" fillId="7" borderId="8" xfId="0" applyFont="1" applyFill="1" applyBorder="1" applyAlignment="1">
      <alignment horizontal="left" wrapText="1"/>
    </xf>
    <xf numFmtId="0" fontId="5" fillId="5" borderId="8" xfId="0" applyFont="1" applyFill="1" applyBorder="1" applyAlignment="1">
      <alignment horizontal="left" wrapText="1"/>
    </xf>
    <xf numFmtId="0" fontId="1" fillId="6" borderId="8" xfId="0" applyFont="1" applyFill="1" applyBorder="1" applyAlignment="1">
      <alignment horizontal="left" wrapText="1"/>
    </xf>
    <xf numFmtId="0" fontId="1" fillId="8" borderId="8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wrapText="1"/>
    </xf>
    <xf numFmtId="0" fontId="1" fillId="14" borderId="8" xfId="0" applyFont="1" applyFill="1" applyBorder="1" applyAlignment="1">
      <alignment horizontal="left" wrapText="1"/>
    </xf>
    <xf numFmtId="2" fontId="1" fillId="0" borderId="26" xfId="0" applyNumberFormat="1" applyFont="1" applyBorder="1" applyAlignment="1">
      <alignment horizontal="center" vertical="center" wrapText="1" shrinkToFit="1"/>
    </xf>
    <xf numFmtId="0" fontId="3" fillId="16" borderId="19" xfId="0" applyFont="1" applyFill="1" applyBorder="1" applyAlignment="1">
      <alignment horizontal="center" vertical="center"/>
    </xf>
    <xf numFmtId="166" fontId="3" fillId="16" borderId="19" xfId="0" applyNumberFormat="1" applyFont="1" applyFill="1" applyBorder="1" applyAlignment="1">
      <alignment vertical="center"/>
    </xf>
    <xf numFmtId="2" fontId="1" fillId="16" borderId="19" xfId="0" applyNumberFormat="1" applyFont="1" applyFill="1" applyBorder="1" applyAlignment="1">
      <alignment horizontal="left" vertical="center" wrapText="1"/>
    </xf>
    <xf numFmtId="2" fontId="3" fillId="16" borderId="19" xfId="0" applyNumberFormat="1" applyFont="1" applyFill="1" applyBorder="1" applyAlignment="1">
      <alignment vertical="center"/>
    </xf>
    <xf numFmtId="2" fontId="3" fillId="16" borderId="19" xfId="0" applyNumberFormat="1" applyFont="1" applyFill="1" applyBorder="1" applyAlignment="1">
      <alignment horizontal="center" vertical="center"/>
    </xf>
    <xf numFmtId="2" fontId="5" fillId="16" borderId="19" xfId="0" applyNumberFormat="1" applyFont="1" applyFill="1" applyBorder="1" applyAlignment="1">
      <alignment horizontal="center" vertical="center" wrapText="1" shrinkToFit="1"/>
    </xf>
    <xf numFmtId="2" fontId="1" fillId="16" borderId="19" xfId="0" applyNumberFormat="1" applyFont="1" applyFill="1" applyBorder="1" applyAlignment="1">
      <alignment horizontal="center" vertical="center" wrapText="1" shrinkToFit="1"/>
    </xf>
    <xf numFmtId="164" fontId="1" fillId="16" borderId="19" xfId="0" applyNumberFormat="1" applyFont="1" applyFill="1" applyBorder="1" applyAlignment="1">
      <alignment horizontal="center" vertical="center" wrapText="1" shrinkToFit="1"/>
    </xf>
    <xf numFmtId="2" fontId="1" fillId="16" borderId="21" xfId="0" applyNumberFormat="1" applyFont="1" applyFill="1" applyBorder="1" applyAlignment="1">
      <alignment horizontal="center" vertical="center" wrapText="1" shrinkToFit="1"/>
    </xf>
    <xf numFmtId="2" fontId="4" fillId="16" borderId="19" xfId="0" applyNumberFormat="1" applyFont="1" applyFill="1" applyBorder="1" applyAlignment="1">
      <alignment horizontal="center" vertical="center" wrapText="1" shrinkToFit="1"/>
    </xf>
    <xf numFmtId="166" fontId="4" fillId="16" borderId="20" xfId="0" applyNumberFormat="1" applyFont="1" applyFill="1" applyBorder="1" applyAlignment="1">
      <alignment horizontal="center" vertical="center" wrapText="1" shrinkToFit="1"/>
    </xf>
    <xf numFmtId="166" fontId="4" fillId="16" borderId="0" xfId="0" applyNumberFormat="1" applyFont="1" applyFill="1" applyAlignment="1">
      <alignment horizontal="center" vertical="center" wrapText="1"/>
    </xf>
    <xf numFmtId="2" fontId="1" fillId="16" borderId="0" xfId="0" applyNumberFormat="1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12" fillId="0" borderId="19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4" fillId="4" borderId="19" xfId="0" applyFont="1" applyFill="1" applyBorder="1" applyAlignment="1">
      <alignment horizontal="center" vertical="top" wrapText="1"/>
    </xf>
    <xf numFmtId="0" fontId="4" fillId="3" borderId="19" xfId="0" applyFont="1" applyFill="1" applyBorder="1" applyAlignment="1">
      <alignment horizontal="center" vertical="top" wrapText="1"/>
    </xf>
    <xf numFmtId="0" fontId="4" fillId="7" borderId="19" xfId="0" applyFont="1" applyFill="1" applyBorder="1" applyAlignment="1">
      <alignment horizontal="center" vertical="top" wrapText="1"/>
    </xf>
    <xf numFmtId="0" fontId="6" fillId="5" borderId="19" xfId="0" applyFont="1" applyFill="1" applyBorder="1" applyAlignment="1">
      <alignment horizontal="center" vertical="top" wrapText="1"/>
    </xf>
    <xf numFmtId="0" fontId="4" fillId="6" borderId="19" xfId="0" applyFont="1" applyFill="1" applyBorder="1" applyAlignment="1">
      <alignment horizontal="center" vertical="top" wrapText="1"/>
    </xf>
    <xf numFmtId="0" fontId="4" fillId="8" borderId="19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14" borderId="19" xfId="0" applyFont="1" applyFill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4" borderId="19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 wrapText="1"/>
    </xf>
    <xf numFmtId="0" fontId="3" fillId="7" borderId="19" xfId="0" applyFont="1" applyFill="1" applyBorder="1" applyAlignment="1">
      <alignment horizontal="center" vertical="top" wrapText="1"/>
    </xf>
    <xf numFmtId="0" fontId="5" fillId="5" borderId="19" xfId="0" applyFont="1" applyFill="1" applyBorder="1" applyAlignment="1">
      <alignment horizontal="center" vertical="top" wrapText="1"/>
    </xf>
    <xf numFmtId="0" fontId="3" fillId="6" borderId="19" xfId="0" applyFont="1" applyFill="1" applyBorder="1" applyAlignment="1">
      <alignment horizontal="center" vertical="top" wrapText="1"/>
    </xf>
    <xf numFmtId="0" fontId="3" fillId="8" borderId="19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14" borderId="19" xfId="0" applyFont="1" applyFill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/>
    </xf>
    <xf numFmtId="0" fontId="1" fillId="8" borderId="19" xfId="0" applyFont="1" applyFill="1" applyBorder="1" applyAlignment="1">
      <alignment vertical="top" wrapText="1"/>
    </xf>
    <xf numFmtId="0" fontId="1" fillId="2" borderId="19" xfId="0" applyFont="1" applyFill="1" applyBorder="1" applyAlignment="1">
      <alignment vertical="top" wrapText="1"/>
    </xf>
    <xf numFmtId="0" fontId="1" fillId="14" borderId="19" xfId="0" applyFont="1" applyFill="1" applyBorder="1" applyAlignment="1">
      <alignment vertical="top" wrapText="1"/>
    </xf>
    <xf numFmtId="0" fontId="1" fillId="7" borderId="19" xfId="0" applyFont="1" applyFill="1" applyBorder="1" applyAlignment="1">
      <alignment vertical="top" wrapText="1"/>
    </xf>
    <xf numFmtId="0" fontId="5" fillId="5" borderId="19" xfId="0" applyFont="1" applyFill="1" applyBorder="1" applyAlignment="1">
      <alignment vertical="top" wrapText="1"/>
    </xf>
    <xf numFmtId="0" fontId="1" fillId="6" borderId="19" xfId="0" applyFont="1" applyFill="1" applyBorder="1" applyAlignment="1">
      <alignment vertical="top" wrapText="1"/>
    </xf>
    <xf numFmtId="0" fontId="1" fillId="3" borderId="19" xfId="0" applyFont="1" applyFill="1" applyBorder="1" applyAlignment="1">
      <alignment vertical="top" wrapText="1"/>
    </xf>
    <xf numFmtId="0" fontId="3" fillId="4" borderId="19" xfId="0" applyFont="1" applyFill="1" applyBorder="1" applyAlignment="1">
      <alignment vertical="top" wrapText="1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2" fontId="4" fillId="0" borderId="20" xfId="0" applyNumberFormat="1" applyFont="1" applyBorder="1" applyAlignment="1">
      <alignment horizontal="center" vertical="center" wrapText="1" shrinkToFit="1"/>
    </xf>
    <xf numFmtId="2" fontId="13" fillId="0" borderId="0" xfId="0" applyNumberFormat="1" applyFont="1" applyAlignment="1">
      <alignment horizontal="left" vertical="center" wrapText="1"/>
    </xf>
    <xf numFmtId="0" fontId="11" fillId="0" borderId="19" xfId="0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 wrapText="1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2" fillId="16" borderId="19" xfId="0" applyFont="1" applyFill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top" wrapText="1"/>
    </xf>
    <xf numFmtId="0" fontId="1" fillId="15" borderId="12" xfId="0" applyFont="1" applyFill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4" fillId="12" borderId="22" xfId="0" applyFont="1" applyFill="1" applyBorder="1" applyAlignment="1">
      <alignment horizontal="center" vertical="center" wrapText="1"/>
    </xf>
    <xf numFmtId="0" fontId="4" fillId="12" borderId="23" xfId="0" applyFont="1" applyFill="1" applyBorder="1" applyAlignment="1">
      <alignment horizontal="center" vertical="center" wrapText="1"/>
    </xf>
    <xf numFmtId="0" fontId="4" fillId="12" borderId="20" xfId="0" applyFont="1" applyFill="1" applyBorder="1" applyAlignment="1">
      <alignment horizontal="center" vertical="center" wrapText="1"/>
    </xf>
    <xf numFmtId="0" fontId="4" fillId="10" borderId="22" xfId="0" applyFont="1" applyFill="1" applyBorder="1" applyAlignment="1">
      <alignment horizontal="center" vertical="center" wrapText="1"/>
    </xf>
    <xf numFmtId="0" fontId="4" fillId="10" borderId="23" xfId="0" applyFont="1" applyFill="1" applyBorder="1" applyAlignment="1">
      <alignment horizontal="center" vertical="center" wrapText="1"/>
    </xf>
    <xf numFmtId="0" fontId="4" fillId="10" borderId="20" xfId="0" applyFont="1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B)%20PDN%20Surewada%2000%20to%2010Km%20Guideline%20from%20CE%20corrected/Schedule%20B%20PDN%20as%20per%20tender.xlsx" TargetMode="External"/><Relationship Id="rId1" Type="http://schemas.openxmlformats.org/officeDocument/2006/relationships/externalLinkPath" Target="/TENDER%202025-26/TENDER%20AMBADI%20BHANDARA/ESTIMATES/PDN%20+HR+CADWM%20Tender/B)%20PDN%20Surewada%2000%20to%2010Km%20Guideline%20from%20CE%20corrected/Schedule%20B%20PDN%20as%20per%20tend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working/B)%20PDN%20Surewada%2000%20to%2010Km%20Guideline%20from%20CE%20corrected/Schedule%20B%20PDN%20%20as%20per%20design.xlsx" TargetMode="External"/><Relationship Id="rId1" Type="http://schemas.openxmlformats.org/officeDocument/2006/relationships/externalLinkPath" Target="/TENDER%202025-26/TENDER%20AMBADI%20BHANDARA/ESTIMATES/PDN%20+HR+CADWM%20Tender/working/B)%20PDN%20Surewada%2000%20to%2010Km%20Guideline%20from%20CE%20corrected/Schedule%20B%20PDN%20%20as%20per%20desig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working/B)%20PDN%20Surewada%2000%20to%2010Km%20Guideline%20from%20CE%20corrected/Injewada%20Minor%20@%20120%20as%20per%20design.xlsx" TargetMode="External"/><Relationship Id="rId1" Type="http://schemas.openxmlformats.org/officeDocument/2006/relationships/externalLinkPath" Target="/TENDER%202025-26/TENDER%20AMBADI%20BHANDARA/ESTIMATES/PDN%20+HR+CADWM%20Tender/working/B)%20PDN%20Surewada%2000%20to%2010Km%20Guideline%20from%20CE%20corrected/Injewada%20Minor%20@%20120%20as%20per%20desig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working/B)%20PDN%20Surewada%2000%20to%2010Km%20Guideline%20from%20CE%20corrected/Sarpewada%20Minor%20@%201110%20EE%20level%20as%20per%20design.xlsx" TargetMode="External"/><Relationship Id="rId1" Type="http://schemas.openxmlformats.org/officeDocument/2006/relationships/externalLinkPath" Target="/TENDER%202025-26/TENDER%20AMBADI%20BHANDARA/ESTIMATES/PDN%20+HR+CADWM%20Tender/working/B)%20PDN%20Surewada%2000%20to%2010Km%20Guideline%20from%20CE%20corrected/Sarpewada%20Minor%20@%201110%20EE%20level%20as%20per%20desig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working/B)%20PDN%20Surewada%2000%20to%2010Km%20Guideline%20from%20CE%20corrected/Koka%20-1%20Minor%20@%203240%20m%20as%20per%20design.xlsx" TargetMode="External"/><Relationship Id="rId1" Type="http://schemas.openxmlformats.org/officeDocument/2006/relationships/externalLinkPath" Target="/TENDER%202025-26/TENDER%20AMBADI%20BHANDARA/ESTIMATES/PDN%20+HR+CADWM%20Tender/working/B)%20PDN%20Surewada%2000%20to%2010Km%20Guideline%20from%20CE%20corrected/Koka%20-1%20Minor%20@%203240%20m%20as%20per%20desig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working/B)%20PDN%20Surewada%2000%20to%2010Km%20Guideline%20from%20CE%20corrected/Koka%20Minor-2%20@%204645%20%20SE%20level%20as%20per%20design.xlsx" TargetMode="External"/><Relationship Id="rId1" Type="http://schemas.openxmlformats.org/officeDocument/2006/relationships/externalLinkPath" Target="/TENDER%202025-26/TENDER%20AMBADI%20BHANDARA/ESTIMATES/PDN%20+HR+CADWM%20Tender/working/B)%20PDN%20Surewada%2000%20to%2010Km%20Guideline%20from%20CE%20corrected/Koka%20Minor-2%20@%204645%20%20SE%20level%20as%20per%20desig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working/B)%20PDN%20Surewada%2000%20to%2010Km%20Guideline%20from%20CE%20corrected/Sonkund%20Minor%20@%206030%20M%20as%20per%20design.xlsx" TargetMode="External"/><Relationship Id="rId1" Type="http://schemas.openxmlformats.org/officeDocument/2006/relationships/externalLinkPath" Target="/TENDER%202025-26/TENDER%20AMBADI%20BHANDARA/ESTIMATES/PDN%20+HR+CADWM%20Tender/working/B)%20PDN%20Surewada%2000%20to%2010Km%20Guideline%20from%20CE%20corrected/Sonkund%20Minor%20@%206030%20M%20as%20per%20design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working/B)%20PDN%20Surewada%2000%20to%2010Km%20Guideline%20from%20CE%20corrected/Palora%20Minor%20@%206850%20M%20as%20per%20design.xlsx" TargetMode="External"/><Relationship Id="rId1" Type="http://schemas.openxmlformats.org/officeDocument/2006/relationships/externalLinkPath" Target="/TENDER%202025-26/TENDER%20AMBADI%20BHANDARA/ESTIMATES/PDN%20+HR+CADWM%20Tender/working/B)%20PDN%20Surewada%2000%20to%2010Km%20Guideline%20from%20CE%20corrected/Palora%20Minor%20@%206850%20M%20as%20per%20desig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working/B)%20PDN%20Surewada%2000%20to%2010Km%20Guideline%20from%20CE%20corrected/Kesalwada%20Minor%20@%208770%20M%20as%20per%20design.xlsx" TargetMode="External"/><Relationship Id="rId1" Type="http://schemas.openxmlformats.org/officeDocument/2006/relationships/externalLinkPath" Target="/TENDER%202025-26/TENDER%20AMBADI%20BHANDARA/ESTIMATES/PDN%20+HR+CADWM%20Tender/working/B)%20PDN%20Surewada%2000%20to%2010Km%20Guideline%20from%20CE%20corrected/Kesalwada%20Minor%20@%208770%20M%20as%20per%20design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B)%20PDN%20Surewada%2000%20to%2010Km%20Guideline%20from%20CE%20corrected/Injewada%20Minor%20@%20120%20as%20per%20tender.xlsx" TargetMode="External"/><Relationship Id="rId1" Type="http://schemas.openxmlformats.org/officeDocument/2006/relationships/externalLinkPath" Target="/TENDER%202025-26/TENDER%20AMBADI%20BHANDARA/ESTIMATES/PDN%20+HR+CADWM%20Tender/B)%20PDN%20Surewada%2000%20to%2010Km%20Guideline%20from%20CE%20corrected/Injewada%20Minor%20@%20120%20as%20per%20tend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B)%20PDN%20Surewada%2000%20to%2010Km%20Guideline%20from%20CE%20corrected/Sarpewada%20Minor%20@%201110%20EE%20level%20as%20per%20tender.xlsx" TargetMode="External"/><Relationship Id="rId1" Type="http://schemas.openxmlformats.org/officeDocument/2006/relationships/externalLinkPath" Target="/TENDER%202025-26/TENDER%20AMBADI%20BHANDARA/ESTIMATES/PDN%20+HR+CADWM%20Tender/B)%20PDN%20Surewada%2000%20to%2010Km%20Guideline%20from%20CE%20corrected/Sarpewada%20Minor%20@%201110%20EE%20level%20as%20per%20tender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B)%20PDN%20Surewada%2000%20to%2010Km%20Guideline%20from%20CE%20corrected/Koka%20-1%20Minor%20@%203240%20m%20as%20per%20tender.xlsx" TargetMode="External"/><Relationship Id="rId1" Type="http://schemas.openxmlformats.org/officeDocument/2006/relationships/externalLinkPath" Target="/TENDER%202025-26/TENDER%20AMBADI%20BHANDARA/ESTIMATES/PDN%20+HR+CADWM%20Tender/B)%20PDN%20Surewada%2000%20to%2010Km%20Guideline%20from%20CE%20corrected/Koka%20-1%20Minor%20@%203240%20m%20as%20per%20tend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B)%20PDN%20Surewada%2000%20to%2010Km%20Guideline%20from%20CE%20corrected/Koka%20Minor-2%20@%204645%20%20SE%20level%20as%20per%20tender.xlsx" TargetMode="External"/><Relationship Id="rId1" Type="http://schemas.openxmlformats.org/officeDocument/2006/relationships/externalLinkPath" Target="/TENDER%202025-26/TENDER%20AMBADI%20BHANDARA/ESTIMATES/PDN%20+HR+CADWM%20Tender/B)%20PDN%20Surewada%2000%20to%2010Km%20Guideline%20from%20CE%20corrected/Koka%20Minor-2%20@%204645%20%20SE%20level%20as%20per%20tender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B)%20PDN%20Surewada%2000%20to%2010Km%20Guideline%20from%20CE%20corrected/Sonkund%20Minor%20@%206030%20M%20as%20per%20tender.xlsx" TargetMode="External"/><Relationship Id="rId1" Type="http://schemas.openxmlformats.org/officeDocument/2006/relationships/externalLinkPath" Target="/TENDER%202025-26/TENDER%20AMBADI%20BHANDARA/ESTIMATES/PDN%20+HR+CADWM%20Tender/B)%20PDN%20Surewada%2000%20to%2010Km%20Guideline%20from%20CE%20corrected/Sonkund%20Minor%20@%206030%20M%20as%20per%20tend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B)%20PDN%20Surewada%2000%20to%2010Km%20Guideline%20from%20CE%20corrected/Palora%20Minor%20@%206850%20M%20as%20per%20tender.xlsx" TargetMode="External"/><Relationship Id="rId1" Type="http://schemas.openxmlformats.org/officeDocument/2006/relationships/externalLinkPath" Target="/TENDER%202025-26/TENDER%20AMBADI%20BHANDARA/ESTIMATES/PDN%20+HR+CADWM%20Tender/B)%20PDN%20Surewada%2000%20to%2010Km%20Guideline%20from%20CE%20corrected/Palora%20Minor%20@%206850%20M%20as%20per%20tender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ENDER%202025-26/TENDER%20AMBADI%20BHANDARA/ESTIMATES/PDN%20+HR+CADWM%20Tender/B)%20PDN%20Surewada%2000%20to%2010Km%20Guideline%20from%20CE%20corrected/Kesalwada%20Minor%20@%208770%20M%20as%20per%20tender.xlsx" TargetMode="External"/><Relationship Id="rId1" Type="http://schemas.openxmlformats.org/officeDocument/2006/relationships/externalLinkPath" Target="/TENDER%202025-26/TENDER%20AMBADI%20BHANDARA/ESTIMATES/PDN%20+HR+CADWM%20Tender/B)%20PDN%20Surewada%2000%20to%2010Km%20Guideline%20from%20CE%20corrected/Kesalwada%20Minor%20@%208770%20M%20as%20per%20ten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 Injewada"/>
      <sheetName val="Ab (Sarpewada)"/>
      <sheetName val="Ab Koka 1"/>
      <sheetName val="Ab (Koka2)"/>
      <sheetName val="Ab sonkund"/>
      <sheetName val="Ab Palora"/>
      <sheetName val="Ab Kesalwada"/>
      <sheetName val="Value programe"/>
      <sheetName val="Wetted"/>
      <sheetName val="sche B "/>
      <sheetName val="Sch c "/>
      <sheetName val="Abstract POL"/>
      <sheetName val="pol statement lead"/>
      <sheetName val="RA POL"/>
      <sheetName val="Ave Lead"/>
      <sheetName val="Labour"/>
      <sheetName val="Prog"/>
      <sheetName val="SCH-A"/>
      <sheetName val="% 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5">
          <cell r="G5">
            <v>9763.5499999999993</v>
          </cell>
          <cell r="J5">
            <v>2322.71</v>
          </cell>
          <cell r="M5">
            <v>27156.240000000002</v>
          </cell>
          <cell r="P5">
            <v>3680.91</v>
          </cell>
          <cell r="S5">
            <v>8754.82</v>
          </cell>
          <cell r="V5">
            <v>22455.200000000001</v>
          </cell>
          <cell r="Y5">
            <v>7987.46</v>
          </cell>
        </row>
        <row r="6">
          <cell r="G6">
            <v>1952.71</v>
          </cell>
          <cell r="J6">
            <v>348.41</v>
          </cell>
          <cell r="M6">
            <v>5431.25</v>
          </cell>
          <cell r="P6">
            <v>736.18</v>
          </cell>
          <cell r="S6">
            <v>1750.96</v>
          </cell>
          <cell r="V6">
            <v>4491.04</v>
          </cell>
          <cell r="Y6">
            <v>1198.1199999999999</v>
          </cell>
        </row>
        <row r="8">
          <cell r="G8">
            <v>1301.810000000004</v>
          </cell>
          <cell r="J8">
            <v>425.82000000000045</v>
          </cell>
          <cell r="M8">
            <v>3620.8299999999981</v>
          </cell>
          <cell r="P8">
            <v>490.7900000000003</v>
          </cell>
          <cell r="S8">
            <v>1167.3100000000004</v>
          </cell>
          <cell r="V8">
            <v>2994.0299999999997</v>
          </cell>
          <cell r="Y8">
            <v>1464.3600000000006</v>
          </cell>
        </row>
        <row r="9">
          <cell r="G9">
            <v>374.21</v>
          </cell>
          <cell r="J9">
            <v>147.86000000000001</v>
          </cell>
          <cell r="M9">
            <v>917.97</v>
          </cell>
          <cell r="P9">
            <v>170.49</v>
          </cell>
          <cell r="S9">
            <v>464.1</v>
          </cell>
          <cell r="V9">
            <v>1522.64</v>
          </cell>
          <cell r="Y9">
            <v>306.88</v>
          </cell>
        </row>
        <row r="10">
          <cell r="G10">
            <v>66.04000000000002</v>
          </cell>
          <cell r="J10">
            <v>26.089999999999975</v>
          </cell>
          <cell r="M10">
            <v>161.99</v>
          </cell>
          <cell r="P10">
            <v>42.620000000000005</v>
          </cell>
          <cell r="S10">
            <v>116.02999999999997</v>
          </cell>
          <cell r="V10">
            <v>380.65999999999985</v>
          </cell>
          <cell r="Y10">
            <v>76.71999999999997</v>
          </cell>
        </row>
        <row r="13">
          <cell r="G13">
            <v>1232.18</v>
          </cell>
          <cell r="J13">
            <v>291.06</v>
          </cell>
          <cell r="M13">
            <v>3475.72</v>
          </cell>
          <cell r="P13">
            <v>548.26</v>
          </cell>
          <cell r="S13">
            <v>1236.26</v>
          </cell>
          <cell r="V13">
            <v>3144.86</v>
          </cell>
          <cell r="Y13">
            <v>1098.31</v>
          </cell>
        </row>
        <row r="16">
          <cell r="G16">
            <v>7454.7312224999978</v>
          </cell>
          <cell r="J16">
            <v>1751.3999999999999</v>
          </cell>
          <cell r="M16">
            <v>19744.876552124999</v>
          </cell>
          <cell r="P16">
            <v>2633.8249139999998</v>
          </cell>
          <cell r="S16">
            <v>6273.5360066249996</v>
          </cell>
          <cell r="V16">
            <v>16362.96</v>
          </cell>
          <cell r="Y16">
            <v>5680.3031291250009</v>
          </cell>
        </row>
        <row r="17">
          <cell r="G17">
            <v>39.94</v>
          </cell>
          <cell r="J17">
            <v>20.7</v>
          </cell>
          <cell r="M17">
            <v>98.02</v>
          </cell>
          <cell r="P17">
            <v>24.740000000000002</v>
          </cell>
          <cell r="S17">
            <v>58.62</v>
          </cell>
          <cell r="V17">
            <v>171.45999999999998</v>
          </cell>
          <cell r="Y17">
            <v>41.58</v>
          </cell>
        </row>
        <row r="18">
          <cell r="G18">
            <v>364.4</v>
          </cell>
          <cell r="J18">
            <v>98.509999999999991</v>
          </cell>
          <cell r="M18">
            <v>1004.2000000000007</v>
          </cell>
          <cell r="P18">
            <v>168.75000000000006</v>
          </cell>
          <cell r="S18">
            <v>382.83999999999992</v>
          </cell>
          <cell r="V18">
            <v>994.92000000000053</v>
          </cell>
          <cell r="Y18">
            <v>327.51999999999992</v>
          </cell>
        </row>
        <row r="48">
          <cell r="G48">
            <v>11</v>
          </cell>
          <cell r="J48">
            <v>5</v>
          </cell>
          <cell r="M48">
            <v>27</v>
          </cell>
          <cell r="P48">
            <v>4</v>
          </cell>
          <cell r="S48">
            <v>14</v>
          </cell>
          <cell r="V48">
            <v>24</v>
          </cell>
          <cell r="Y48">
            <v>6</v>
          </cell>
        </row>
        <row r="49">
          <cell r="G49">
            <v>9</v>
          </cell>
          <cell r="J49">
            <v>3</v>
          </cell>
          <cell r="M49">
            <v>7</v>
          </cell>
          <cell r="P49">
            <v>2</v>
          </cell>
          <cell r="S49">
            <v>3</v>
          </cell>
          <cell r="V49">
            <v>14</v>
          </cell>
          <cell r="Y49">
            <v>4</v>
          </cell>
        </row>
        <row r="50">
          <cell r="G50">
            <v>1</v>
          </cell>
          <cell r="J50">
            <v>0</v>
          </cell>
          <cell r="M50">
            <v>6</v>
          </cell>
          <cell r="P50">
            <v>5</v>
          </cell>
          <cell r="S50">
            <v>2</v>
          </cell>
          <cell r="V50">
            <v>11</v>
          </cell>
          <cell r="Y50">
            <v>2</v>
          </cell>
        </row>
        <row r="51">
          <cell r="G51">
            <v>5</v>
          </cell>
          <cell r="J51">
            <v>0</v>
          </cell>
          <cell r="M51">
            <v>10</v>
          </cell>
          <cell r="P51">
            <v>0</v>
          </cell>
          <cell r="S51">
            <v>5</v>
          </cell>
          <cell r="V51">
            <v>5</v>
          </cell>
          <cell r="Y51">
            <v>4</v>
          </cell>
        </row>
        <row r="52">
          <cell r="G52">
            <v>0</v>
          </cell>
          <cell r="J52">
            <v>0</v>
          </cell>
          <cell r="M52">
            <v>9</v>
          </cell>
          <cell r="P52">
            <v>0</v>
          </cell>
          <cell r="S52">
            <v>0</v>
          </cell>
          <cell r="V52">
            <v>5</v>
          </cell>
          <cell r="Y52">
            <v>2</v>
          </cell>
        </row>
        <row r="55">
          <cell r="G55">
            <v>11</v>
          </cell>
          <cell r="J55">
            <v>5</v>
          </cell>
          <cell r="M55">
            <v>27</v>
          </cell>
          <cell r="P55">
            <v>4</v>
          </cell>
          <cell r="S55">
            <v>14</v>
          </cell>
          <cell r="V55">
            <v>24</v>
          </cell>
          <cell r="Y55">
            <v>6</v>
          </cell>
        </row>
        <row r="56">
          <cell r="G56">
            <v>10</v>
          </cell>
          <cell r="J56">
            <v>3</v>
          </cell>
          <cell r="M56">
            <v>13</v>
          </cell>
          <cell r="P56">
            <v>7</v>
          </cell>
          <cell r="S56">
            <v>5</v>
          </cell>
          <cell r="V56">
            <v>25</v>
          </cell>
          <cell r="Y56">
            <v>6</v>
          </cell>
        </row>
        <row r="57">
          <cell r="G57">
            <v>5</v>
          </cell>
          <cell r="J57">
            <v>0</v>
          </cell>
          <cell r="M57">
            <v>19</v>
          </cell>
          <cell r="P57">
            <v>0</v>
          </cell>
          <cell r="S57">
            <v>5</v>
          </cell>
          <cell r="V57">
            <v>10</v>
          </cell>
          <cell r="Y57">
            <v>6</v>
          </cell>
        </row>
        <row r="58">
          <cell r="G58">
            <v>79.09</v>
          </cell>
          <cell r="J58">
            <v>42.34</v>
          </cell>
          <cell r="M58">
            <v>182.99</v>
          </cell>
          <cell r="P58">
            <v>39.35</v>
          </cell>
          <cell r="S58">
            <v>83.4</v>
          </cell>
          <cell r="V58">
            <v>220.25</v>
          </cell>
          <cell r="Y58">
            <v>64.03</v>
          </cell>
        </row>
        <row r="59">
          <cell r="G59">
            <v>477.59877749999998</v>
          </cell>
          <cell r="J59">
            <v>210.24</v>
          </cell>
          <cell r="M59">
            <v>1065.7034478750002</v>
          </cell>
          <cell r="P59">
            <v>257.41508599999997</v>
          </cell>
          <cell r="S59">
            <v>524.08399337499998</v>
          </cell>
          <cell r="V59">
            <v>1308.25</v>
          </cell>
          <cell r="Y59">
            <v>390.46687087500004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 Injewada"/>
      <sheetName val="Ab (Sarpewada)"/>
      <sheetName val="Ab Koka 1"/>
      <sheetName val="Ab (Koka2)"/>
      <sheetName val="Ab sonkund"/>
      <sheetName val="Ab Palora"/>
      <sheetName val="Ab Kesalwada"/>
      <sheetName val="Value programe"/>
      <sheetName val="Wetted"/>
      <sheetName val="sche B "/>
      <sheetName val="Sch c "/>
      <sheetName val="Abstract POL"/>
      <sheetName val="pol statement lead"/>
      <sheetName val="RA POL"/>
      <sheetName val="Ave Lead"/>
      <sheetName val="Labour"/>
      <sheetName val="Prog"/>
      <sheetName val="SCH-A"/>
      <sheetName val="% P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G5">
            <v>9594.85</v>
          </cell>
          <cell r="J5">
            <v>2684.66</v>
          </cell>
          <cell r="M5">
            <v>26079.7</v>
          </cell>
          <cell r="P5">
            <v>3638.69</v>
          </cell>
          <cell r="S5">
            <v>9004.19</v>
          </cell>
          <cell r="V5">
            <v>28008.65</v>
          </cell>
          <cell r="Y5">
            <v>6890.5</v>
          </cell>
        </row>
        <row r="6">
          <cell r="G6">
            <v>1918.97</v>
          </cell>
          <cell r="J6">
            <v>402.7</v>
          </cell>
          <cell r="M6">
            <v>5215.9399999999996</v>
          </cell>
          <cell r="P6">
            <v>727.74</v>
          </cell>
          <cell r="S6">
            <v>1800.84</v>
          </cell>
          <cell r="V6">
            <v>5601.73</v>
          </cell>
          <cell r="Y6">
            <v>1033.58</v>
          </cell>
        </row>
        <row r="8">
          <cell r="G8">
            <v>1279.309999999997</v>
          </cell>
          <cell r="J8">
            <v>492.19000000000034</v>
          </cell>
          <cell r="M8">
            <v>3477.2900000000072</v>
          </cell>
          <cell r="P8">
            <v>485.14999999999986</v>
          </cell>
          <cell r="S8">
            <v>1200.5499999999977</v>
          </cell>
          <cell r="V8">
            <v>3734.4799999999996</v>
          </cell>
          <cell r="Y8">
            <v>1263.25</v>
          </cell>
        </row>
        <row r="9">
          <cell r="G9">
            <v>374.21</v>
          </cell>
          <cell r="J9">
            <v>147.86000000000001</v>
          </cell>
          <cell r="M9">
            <v>917.97</v>
          </cell>
          <cell r="P9">
            <v>170.49</v>
          </cell>
          <cell r="S9">
            <v>464.1</v>
          </cell>
          <cell r="V9">
            <v>1522.64</v>
          </cell>
          <cell r="Y9">
            <v>306.88</v>
          </cell>
        </row>
        <row r="10">
          <cell r="G10">
            <v>66.04000000000002</v>
          </cell>
          <cell r="J10">
            <v>26.089999999999975</v>
          </cell>
          <cell r="M10">
            <v>161.99</v>
          </cell>
          <cell r="P10">
            <v>42.620000000000005</v>
          </cell>
          <cell r="S10">
            <v>116.02999999999997</v>
          </cell>
          <cell r="V10">
            <v>380.65999999999985</v>
          </cell>
          <cell r="Y10">
            <v>76.71999999999997</v>
          </cell>
        </row>
        <row r="13">
          <cell r="G13">
            <v>1162.29</v>
          </cell>
          <cell r="J13">
            <v>344.91</v>
          </cell>
          <cell r="M13">
            <v>3357.1</v>
          </cell>
          <cell r="P13">
            <v>541.6</v>
          </cell>
          <cell r="S13">
            <v>1303.58</v>
          </cell>
          <cell r="V13">
            <v>3898.66</v>
          </cell>
          <cell r="Y13">
            <v>981.17</v>
          </cell>
        </row>
        <row r="14"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</row>
        <row r="16">
          <cell r="G16">
            <v>7315.9051876250014</v>
          </cell>
          <cell r="J16">
            <v>2011.4700000000003</v>
          </cell>
          <cell r="M16">
            <v>19011.946098375003</v>
          </cell>
          <cell r="P16">
            <v>2603.2669680000008</v>
          </cell>
          <cell r="S16">
            <v>6488.7398778750003</v>
          </cell>
          <cell r="V16">
            <v>20244.75</v>
          </cell>
          <cell r="Y16">
            <v>4931.7524795000008</v>
          </cell>
        </row>
        <row r="17">
          <cell r="G17">
            <v>39.94</v>
          </cell>
          <cell r="J17">
            <v>20.7</v>
          </cell>
          <cell r="M17">
            <v>98.02</v>
          </cell>
          <cell r="P17">
            <v>24.740000000000002</v>
          </cell>
          <cell r="S17">
            <v>58.62</v>
          </cell>
          <cell r="V17">
            <v>171.45999999999998</v>
          </cell>
          <cell r="Y17">
            <v>41.58</v>
          </cell>
        </row>
        <row r="18">
          <cell r="G18">
            <v>343.14000000000016</v>
          </cell>
          <cell r="J18">
            <v>111.98000000000008</v>
          </cell>
          <cell r="M18">
            <v>974.54</v>
          </cell>
          <cell r="P18">
            <v>167.07999999999998</v>
          </cell>
          <cell r="S18">
            <v>400.93000000000006</v>
          </cell>
          <cell r="V18">
            <v>1192.22</v>
          </cell>
          <cell r="Y18">
            <v>298.86000000000007</v>
          </cell>
        </row>
        <row r="19">
          <cell r="Y19">
            <v>0</v>
          </cell>
        </row>
        <row r="20">
          <cell r="Y20">
            <v>0</v>
          </cell>
        </row>
        <row r="21">
          <cell r="Y21">
            <v>0</v>
          </cell>
        </row>
        <row r="22">
          <cell r="Y22">
            <v>0</v>
          </cell>
        </row>
        <row r="23">
          <cell r="Y23">
            <v>1729</v>
          </cell>
        </row>
        <row r="24">
          <cell r="Y24">
            <v>866</v>
          </cell>
        </row>
        <row r="25">
          <cell r="Y25">
            <v>200</v>
          </cell>
        </row>
        <row r="26">
          <cell r="Y26">
            <v>461</v>
          </cell>
        </row>
        <row r="27">
          <cell r="Y27">
            <v>0</v>
          </cell>
        </row>
        <row r="28">
          <cell r="Y28">
            <v>299</v>
          </cell>
        </row>
        <row r="29">
          <cell r="Y29">
            <v>237</v>
          </cell>
        </row>
        <row r="30">
          <cell r="Y30">
            <v>0</v>
          </cell>
        </row>
        <row r="31">
          <cell r="Y31">
            <v>0</v>
          </cell>
        </row>
        <row r="32">
          <cell r="Y32">
            <v>0</v>
          </cell>
        </row>
        <row r="33">
          <cell r="Y33">
            <v>393</v>
          </cell>
        </row>
        <row r="34">
          <cell r="Y34">
            <v>540</v>
          </cell>
        </row>
        <row r="35">
          <cell r="Y35">
            <v>697</v>
          </cell>
        </row>
        <row r="36">
          <cell r="Y36">
            <v>0</v>
          </cell>
        </row>
        <row r="37">
          <cell r="Y37">
            <v>182</v>
          </cell>
        </row>
        <row r="38">
          <cell r="Y38">
            <v>0</v>
          </cell>
        </row>
        <row r="39">
          <cell r="Y39">
            <v>0</v>
          </cell>
        </row>
        <row r="40">
          <cell r="Y40">
            <v>0</v>
          </cell>
        </row>
        <row r="41">
          <cell r="Y41">
            <v>0</v>
          </cell>
        </row>
        <row r="42">
          <cell r="Y42">
            <v>0</v>
          </cell>
        </row>
        <row r="43">
          <cell r="Y43">
            <v>0</v>
          </cell>
        </row>
        <row r="44">
          <cell r="Y44">
            <v>0</v>
          </cell>
        </row>
        <row r="45">
          <cell r="Y45">
            <v>0</v>
          </cell>
        </row>
        <row r="46">
          <cell r="Y46">
            <v>0</v>
          </cell>
        </row>
        <row r="47">
          <cell r="Y47">
            <v>0</v>
          </cell>
        </row>
        <row r="48">
          <cell r="G48">
            <v>5</v>
          </cell>
          <cell r="J48">
            <v>4</v>
          </cell>
          <cell r="M48">
            <v>25</v>
          </cell>
          <cell r="P48">
            <v>5</v>
          </cell>
          <cell r="S48">
            <v>12</v>
          </cell>
          <cell r="V48">
            <v>29</v>
          </cell>
          <cell r="Y48">
            <v>9</v>
          </cell>
        </row>
        <row r="49">
          <cell r="G49">
            <v>8</v>
          </cell>
          <cell r="J49">
            <v>4</v>
          </cell>
          <cell r="M49">
            <v>12</v>
          </cell>
          <cell r="P49">
            <v>2</v>
          </cell>
          <cell r="S49">
            <v>8</v>
          </cell>
          <cell r="V49">
            <v>18</v>
          </cell>
          <cell r="Y49">
            <v>4</v>
          </cell>
        </row>
        <row r="50">
          <cell r="G50">
            <v>2</v>
          </cell>
          <cell r="J50">
            <v>0</v>
          </cell>
          <cell r="M50">
            <v>5</v>
          </cell>
          <cell r="P50">
            <v>4</v>
          </cell>
          <cell r="S50">
            <v>2</v>
          </cell>
          <cell r="V50">
            <v>15</v>
          </cell>
          <cell r="Y50">
            <v>1</v>
          </cell>
        </row>
        <row r="51">
          <cell r="G51">
            <v>5</v>
          </cell>
          <cell r="J51">
            <v>0</v>
          </cell>
          <cell r="M51">
            <v>7</v>
          </cell>
          <cell r="P51">
            <v>0</v>
          </cell>
          <cell r="S51">
            <v>4</v>
          </cell>
          <cell r="V51">
            <v>3</v>
          </cell>
          <cell r="Y51">
            <v>5</v>
          </cell>
        </row>
        <row r="52">
          <cell r="G52">
            <v>0</v>
          </cell>
          <cell r="J52">
            <v>0</v>
          </cell>
          <cell r="M52">
            <v>10</v>
          </cell>
          <cell r="P52">
            <v>0</v>
          </cell>
          <cell r="S52">
            <v>0</v>
          </cell>
          <cell r="V52">
            <v>8</v>
          </cell>
          <cell r="Y52">
            <v>0</v>
          </cell>
        </row>
        <row r="53">
          <cell r="Y53">
            <v>0</v>
          </cell>
        </row>
        <row r="54">
          <cell r="Y54">
            <v>0</v>
          </cell>
        </row>
        <row r="55">
          <cell r="G55">
            <v>5</v>
          </cell>
          <cell r="J55">
            <v>4</v>
          </cell>
          <cell r="M55">
            <v>25</v>
          </cell>
          <cell r="P55">
            <v>5</v>
          </cell>
          <cell r="S55">
            <v>12</v>
          </cell>
          <cell r="V55">
            <v>29</v>
          </cell>
          <cell r="Y55">
            <v>9</v>
          </cell>
        </row>
        <row r="56">
          <cell r="G56">
            <v>10</v>
          </cell>
          <cell r="J56">
            <v>4</v>
          </cell>
          <cell r="M56">
            <v>17</v>
          </cell>
          <cell r="P56">
            <v>6</v>
          </cell>
          <cell r="S56">
            <v>10</v>
          </cell>
          <cell r="V56">
            <v>33</v>
          </cell>
          <cell r="Y56">
            <v>5</v>
          </cell>
        </row>
        <row r="57">
          <cell r="G57">
            <v>5</v>
          </cell>
          <cell r="J57">
            <v>0</v>
          </cell>
          <cell r="M57">
            <v>17</v>
          </cell>
          <cell r="P57">
            <v>0</v>
          </cell>
          <cell r="S57">
            <v>4</v>
          </cell>
          <cell r="V57">
            <v>11</v>
          </cell>
          <cell r="Y57">
            <v>5</v>
          </cell>
        </row>
        <row r="58">
          <cell r="G58">
            <v>68.36</v>
          </cell>
          <cell r="J58">
            <v>44.580000000000005</v>
          </cell>
          <cell r="M58">
            <v>182.32000000000002</v>
          </cell>
          <cell r="P58">
            <v>38.910000000000004</v>
          </cell>
          <cell r="S58">
            <v>88.850000000000009</v>
          </cell>
          <cell r="V58">
            <v>250.47999999999996</v>
          </cell>
          <cell r="Y58">
            <v>64.239999999999995</v>
          </cell>
        </row>
        <row r="59">
          <cell r="G59">
            <v>419.02481237500001</v>
          </cell>
          <cell r="J59">
            <v>224.94</v>
          </cell>
          <cell r="M59">
            <v>1061.3039016250002</v>
          </cell>
          <cell r="P59">
            <v>254.51303200000001</v>
          </cell>
          <cell r="S59">
            <v>555.95012212500001</v>
          </cell>
          <cell r="V59">
            <v>1479.17</v>
          </cell>
          <cell r="Y59">
            <v>389.86752050000001</v>
          </cell>
        </row>
        <row r="60">
          <cell r="Y60">
            <v>22.09</v>
          </cell>
        </row>
        <row r="61">
          <cell r="Y61">
            <v>0</v>
          </cell>
        </row>
        <row r="62">
          <cell r="Y62">
            <v>7</v>
          </cell>
        </row>
        <row r="63">
          <cell r="Y63">
            <v>10</v>
          </cell>
        </row>
        <row r="64">
          <cell r="Y64">
            <v>4</v>
          </cell>
        </row>
        <row r="65">
          <cell r="Y65">
            <v>1</v>
          </cell>
        </row>
        <row r="66">
          <cell r="Y66">
            <v>1</v>
          </cell>
        </row>
        <row r="67">
          <cell r="Y67">
            <v>1</v>
          </cell>
        </row>
        <row r="68">
          <cell r="Y68">
            <v>2</v>
          </cell>
        </row>
        <row r="69">
          <cell r="Y69">
            <v>1</v>
          </cell>
        </row>
        <row r="70">
          <cell r="Y70">
            <v>2</v>
          </cell>
        </row>
        <row r="71">
          <cell r="Y71">
            <v>0</v>
          </cell>
        </row>
        <row r="72">
          <cell r="Y72">
            <v>0</v>
          </cell>
        </row>
        <row r="73">
          <cell r="Y73">
            <v>0</v>
          </cell>
        </row>
        <row r="74">
          <cell r="Y74">
            <v>0</v>
          </cell>
        </row>
        <row r="75">
          <cell r="Y75">
            <v>0</v>
          </cell>
        </row>
        <row r="76">
          <cell r="Y76">
            <v>0</v>
          </cell>
        </row>
        <row r="77">
          <cell r="Y77">
            <v>0</v>
          </cell>
        </row>
        <row r="78">
          <cell r="Y78">
            <v>5.6</v>
          </cell>
        </row>
        <row r="79">
          <cell r="Y79">
            <v>161.19</v>
          </cell>
        </row>
        <row r="80">
          <cell r="Y80">
            <v>161.19</v>
          </cell>
        </row>
        <row r="81">
          <cell r="Y81">
            <v>161.19</v>
          </cell>
        </row>
        <row r="82">
          <cell r="Y82">
            <v>0</v>
          </cell>
        </row>
        <row r="83">
          <cell r="Y83">
            <v>1</v>
          </cell>
        </row>
        <row r="84">
          <cell r="Y84">
            <v>1</v>
          </cell>
        </row>
        <row r="85">
          <cell r="Y85">
            <v>1</v>
          </cell>
        </row>
        <row r="86">
          <cell r="Y86">
            <v>322.38</v>
          </cell>
        </row>
        <row r="91">
          <cell r="Y91">
            <v>1</v>
          </cell>
        </row>
        <row r="93">
          <cell r="Y93">
            <v>0</v>
          </cell>
        </row>
        <row r="94">
          <cell r="Y94">
            <v>0</v>
          </cell>
        </row>
        <row r="95">
          <cell r="Y95">
            <v>0</v>
          </cell>
        </row>
        <row r="96">
          <cell r="Y96">
            <v>0</v>
          </cell>
        </row>
        <row r="97">
          <cell r="Y97">
            <v>0</v>
          </cell>
        </row>
        <row r="98">
          <cell r="Y98">
            <v>1.7290000000000001</v>
          </cell>
        </row>
        <row r="99">
          <cell r="Y99">
            <v>0.86599999999999999</v>
          </cell>
        </row>
        <row r="100">
          <cell r="Y100">
            <v>0.2</v>
          </cell>
        </row>
        <row r="101">
          <cell r="Y101">
            <v>0.46100000000000002</v>
          </cell>
        </row>
        <row r="102">
          <cell r="Y102">
            <v>0</v>
          </cell>
        </row>
        <row r="103">
          <cell r="Y103">
            <v>0.29899999999999999</v>
          </cell>
        </row>
        <row r="104">
          <cell r="Y104">
            <v>0.23699999999999999</v>
          </cell>
        </row>
        <row r="105">
          <cell r="Y105">
            <v>0</v>
          </cell>
        </row>
        <row r="106">
          <cell r="Y106">
            <v>0</v>
          </cell>
        </row>
        <row r="107">
          <cell r="Y107">
            <v>0</v>
          </cell>
        </row>
        <row r="108">
          <cell r="Y108">
            <v>0.39</v>
          </cell>
        </row>
        <row r="109">
          <cell r="Y109">
            <v>0.54</v>
          </cell>
        </row>
        <row r="110">
          <cell r="Y110">
            <v>0.7</v>
          </cell>
        </row>
        <row r="111">
          <cell r="Y111">
            <v>0.18</v>
          </cell>
        </row>
        <row r="112">
          <cell r="Y112">
            <v>0</v>
          </cell>
        </row>
        <row r="113">
          <cell r="Y113">
            <v>0</v>
          </cell>
        </row>
        <row r="114">
          <cell r="Y114">
            <v>0</v>
          </cell>
        </row>
        <row r="115">
          <cell r="Y115">
            <v>0</v>
          </cell>
        </row>
        <row r="116">
          <cell r="Y116">
            <v>0</v>
          </cell>
        </row>
        <row r="117">
          <cell r="Y117">
            <v>0</v>
          </cell>
        </row>
        <row r="118">
          <cell r="Y118">
            <v>0</v>
          </cell>
        </row>
        <row r="119">
          <cell r="Y119">
            <v>0</v>
          </cell>
        </row>
        <row r="120">
          <cell r="Y120">
            <v>0</v>
          </cell>
        </row>
        <row r="121">
          <cell r="Y121">
            <v>35</v>
          </cell>
        </row>
        <row r="122">
          <cell r="Y122">
            <v>9.5220000000000002</v>
          </cell>
        </row>
        <row r="123">
          <cell r="Y123">
            <v>40.5</v>
          </cell>
        </row>
        <row r="124">
          <cell r="Y124">
            <v>44.099999999999994</v>
          </cell>
        </row>
        <row r="125">
          <cell r="Y125">
            <v>44.099999999999994</v>
          </cell>
        </row>
        <row r="126">
          <cell r="Y126">
            <v>40.5</v>
          </cell>
        </row>
        <row r="127">
          <cell r="Y127">
            <v>3.1500000000000004</v>
          </cell>
        </row>
        <row r="128">
          <cell r="Y128">
            <v>2.4</v>
          </cell>
        </row>
        <row r="129">
          <cell r="Y129">
            <v>2.4</v>
          </cell>
        </row>
        <row r="130">
          <cell r="Y130">
            <v>1</v>
          </cell>
        </row>
        <row r="131">
          <cell r="Y131">
            <v>161.19</v>
          </cell>
        </row>
        <row r="132">
          <cell r="Y132">
            <v>161.19</v>
          </cell>
        </row>
        <row r="134">
          <cell r="Y134">
            <v>0</v>
          </cell>
        </row>
        <row r="135">
          <cell r="Y135">
            <v>0</v>
          </cell>
        </row>
        <row r="136">
          <cell r="Y136">
            <v>0</v>
          </cell>
        </row>
        <row r="137">
          <cell r="Y137">
            <v>0</v>
          </cell>
        </row>
        <row r="138">
          <cell r="Y138">
            <v>0</v>
          </cell>
        </row>
        <row r="139">
          <cell r="Y139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Forest Length"/>
      <sheetName val="CDO VETTING CHarges 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esHR"/>
      <sheetName val="drg HR (2)"/>
      <sheetName val="drg HR"/>
      <sheetName val="ready Recknor Calculation"/>
      <sheetName val="ready Reck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8">
          <cell r="A58">
            <v>23.972999999999999</v>
          </cell>
        </row>
        <row r="60">
          <cell r="A60">
            <v>18</v>
          </cell>
        </row>
        <row r="61">
          <cell r="A61">
            <v>5</v>
          </cell>
        </row>
        <row r="62">
          <cell r="A62">
            <v>3</v>
          </cell>
        </row>
        <row r="63">
          <cell r="A63">
            <v>1</v>
          </cell>
        </row>
        <row r="64">
          <cell r="A64">
            <v>0</v>
          </cell>
        </row>
        <row r="65">
          <cell r="A65">
            <v>1</v>
          </cell>
        </row>
        <row r="66">
          <cell r="A66">
            <v>1</v>
          </cell>
        </row>
        <row r="67">
          <cell r="A67">
            <v>1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6">
          <cell r="A76">
            <v>5.6</v>
          </cell>
        </row>
        <row r="77">
          <cell r="A77">
            <v>149.06</v>
          </cell>
        </row>
        <row r="78">
          <cell r="A78">
            <v>149.06</v>
          </cell>
        </row>
        <row r="79">
          <cell r="A79">
            <v>149.06</v>
          </cell>
        </row>
        <row r="81">
          <cell r="A81">
            <v>1</v>
          </cell>
        </row>
        <row r="82">
          <cell r="A82">
            <v>1</v>
          </cell>
        </row>
        <row r="83">
          <cell r="A83">
            <v>1</v>
          </cell>
        </row>
        <row r="84">
          <cell r="A84">
            <v>298.12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1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1.2912999999999999</v>
          </cell>
        </row>
        <row r="96">
          <cell r="A96">
            <v>0.17269000000000001</v>
          </cell>
        </row>
        <row r="97">
          <cell r="A97">
            <v>1.0670200000000001</v>
          </cell>
        </row>
        <row r="98">
          <cell r="A98">
            <v>0.17085</v>
          </cell>
        </row>
        <row r="99">
          <cell r="A99">
            <v>0.11434999999999999</v>
          </cell>
        </row>
        <row r="100">
          <cell r="A100">
            <v>0.98566999999999994</v>
          </cell>
        </row>
        <row r="101">
          <cell r="A101">
            <v>0.15609000000000001</v>
          </cell>
        </row>
        <row r="102">
          <cell r="A102">
            <v>0</v>
          </cell>
        </row>
        <row r="103">
          <cell r="A103">
            <v>0.23</v>
          </cell>
        </row>
        <row r="104">
          <cell r="A104">
            <v>0</v>
          </cell>
        </row>
        <row r="105">
          <cell r="A105">
            <v>0.5</v>
          </cell>
        </row>
        <row r="106">
          <cell r="A106">
            <v>0.16</v>
          </cell>
        </row>
        <row r="107">
          <cell r="A107">
            <v>1.37</v>
          </cell>
        </row>
        <row r="108">
          <cell r="A108">
            <v>0.11</v>
          </cell>
        </row>
        <row r="109">
          <cell r="A109">
            <v>0</v>
          </cell>
        </row>
        <row r="110">
          <cell r="A110">
            <v>0</v>
          </cell>
        </row>
        <row r="113">
          <cell r="A113">
            <v>0</v>
          </cell>
        </row>
        <row r="118">
          <cell r="A118">
            <v>42.5</v>
          </cell>
        </row>
        <row r="119">
          <cell r="A119">
            <v>9.5220000000000002</v>
          </cell>
        </row>
        <row r="120">
          <cell r="A120">
            <v>40.5</v>
          </cell>
        </row>
        <row r="121">
          <cell r="A121">
            <v>44.099999999999994</v>
          </cell>
        </row>
        <row r="122">
          <cell r="A122">
            <v>44.099999999999994</v>
          </cell>
        </row>
        <row r="123">
          <cell r="A123">
            <v>40.5</v>
          </cell>
        </row>
        <row r="124">
          <cell r="A124">
            <v>3.1500000000000004</v>
          </cell>
        </row>
        <row r="125">
          <cell r="A125">
            <v>2.4</v>
          </cell>
        </row>
        <row r="126">
          <cell r="A126">
            <v>2.4</v>
          </cell>
        </row>
        <row r="127">
          <cell r="A127">
            <v>1</v>
          </cell>
        </row>
        <row r="128">
          <cell r="A128">
            <v>149.06</v>
          </cell>
        </row>
        <row r="129">
          <cell r="A129">
            <v>149.06</v>
          </cell>
        </row>
        <row r="137">
          <cell r="H137">
            <v>29292474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Sheet3"/>
      <sheetName val="Valve cham"/>
      <sheetName val="T Joint"/>
      <sheetName val="desHR (3)"/>
      <sheetName val="desHR"/>
      <sheetName val="drg HR (2)"/>
      <sheetName val="drg HR"/>
      <sheetName val="ready Recknor Calculation"/>
      <sheetName val="ready Reck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7">
          <cell r="A57">
            <v>14.81</v>
          </cell>
        </row>
        <row r="59">
          <cell r="A59">
            <v>7</v>
          </cell>
        </row>
        <row r="60">
          <cell r="A60">
            <v>1</v>
          </cell>
        </row>
        <row r="61">
          <cell r="A61">
            <v>2</v>
          </cell>
        </row>
        <row r="62">
          <cell r="A62">
            <v>0</v>
          </cell>
        </row>
        <row r="63">
          <cell r="A63">
            <v>1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5">
          <cell r="A75">
            <v>5.6</v>
          </cell>
        </row>
        <row r="76">
          <cell r="A76">
            <v>58.72</v>
          </cell>
        </row>
        <row r="77">
          <cell r="A77">
            <v>58.72</v>
          </cell>
        </row>
        <row r="78">
          <cell r="A78">
            <v>58.72</v>
          </cell>
        </row>
        <row r="83">
          <cell r="A83">
            <v>117.44</v>
          </cell>
        </row>
        <row r="90">
          <cell r="A90">
            <v>2616.85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1.24</v>
          </cell>
        </row>
        <row r="95">
          <cell r="A95">
            <v>0</v>
          </cell>
        </row>
        <row r="96">
          <cell r="A96">
            <v>0.36</v>
          </cell>
        </row>
        <row r="97">
          <cell r="A97">
            <v>0</v>
          </cell>
        </row>
        <row r="98">
          <cell r="A98">
            <v>0.09</v>
          </cell>
        </row>
        <row r="99">
          <cell r="A99">
            <v>0.47</v>
          </cell>
        </row>
        <row r="100">
          <cell r="A100">
            <v>0.31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06">
          <cell r="A106">
            <v>0</v>
          </cell>
        </row>
        <row r="107">
          <cell r="A107">
            <v>0</v>
          </cell>
        </row>
        <row r="108">
          <cell r="A108">
            <v>0</v>
          </cell>
        </row>
        <row r="109">
          <cell r="A109">
            <v>0</v>
          </cell>
        </row>
        <row r="117">
          <cell r="A117">
            <v>12.5</v>
          </cell>
        </row>
        <row r="118">
          <cell r="A118">
            <v>9.52</v>
          </cell>
        </row>
        <row r="119">
          <cell r="A119">
            <v>40.5</v>
          </cell>
        </row>
        <row r="120">
          <cell r="A120">
            <v>44.099999999999994</v>
          </cell>
        </row>
        <row r="121">
          <cell r="A121">
            <v>44.099999999999994</v>
          </cell>
        </row>
        <row r="122">
          <cell r="A122">
            <v>40.5</v>
          </cell>
        </row>
        <row r="123">
          <cell r="A123">
            <v>3.1500000000000004</v>
          </cell>
        </row>
        <row r="124">
          <cell r="A124">
            <v>2.4</v>
          </cell>
        </row>
        <row r="125">
          <cell r="A125">
            <v>2.4</v>
          </cell>
        </row>
        <row r="126">
          <cell r="A126">
            <v>1</v>
          </cell>
        </row>
        <row r="127">
          <cell r="A127">
            <v>58.72</v>
          </cell>
        </row>
        <row r="128">
          <cell r="A128">
            <v>58.72</v>
          </cell>
        </row>
        <row r="136">
          <cell r="H136">
            <v>7920550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esHR"/>
      <sheetName val="drg HR (2)"/>
      <sheetName val="drg HR"/>
      <sheetName val="ready Recknor Calculation"/>
      <sheetName val="ready Reck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8">
          <cell r="A58">
            <v>56.38</v>
          </cell>
        </row>
        <row r="60">
          <cell r="A60">
            <v>47</v>
          </cell>
        </row>
        <row r="61">
          <cell r="A61">
            <v>3</v>
          </cell>
        </row>
        <row r="62">
          <cell r="A62">
            <v>3</v>
          </cell>
        </row>
        <row r="63">
          <cell r="A63">
            <v>3</v>
          </cell>
        </row>
        <row r="64">
          <cell r="A64">
            <v>3</v>
          </cell>
        </row>
        <row r="65">
          <cell r="A65">
            <v>4</v>
          </cell>
        </row>
        <row r="66">
          <cell r="A66">
            <v>3</v>
          </cell>
        </row>
        <row r="67">
          <cell r="A67">
            <v>5</v>
          </cell>
        </row>
        <row r="68">
          <cell r="A68">
            <v>5</v>
          </cell>
        </row>
        <row r="69">
          <cell r="A69">
            <v>2</v>
          </cell>
        </row>
        <row r="70">
          <cell r="A70">
            <v>4</v>
          </cell>
        </row>
        <row r="76">
          <cell r="A76">
            <v>5.6</v>
          </cell>
        </row>
        <row r="77">
          <cell r="A77">
            <v>529.95000000000005</v>
          </cell>
        </row>
        <row r="78">
          <cell r="A78">
            <v>529.95000000000005</v>
          </cell>
        </row>
        <row r="79">
          <cell r="A79">
            <v>529.95000000000005</v>
          </cell>
        </row>
        <row r="84">
          <cell r="A84">
            <v>1059.9000000000001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1</v>
          </cell>
        </row>
        <row r="91">
          <cell r="A91">
            <v>1130.5900000000001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6.1029999999999998</v>
          </cell>
        </row>
        <row r="96">
          <cell r="A96">
            <v>1.2569999999999999</v>
          </cell>
        </row>
        <row r="97">
          <cell r="A97">
            <v>1.4750000000000001</v>
          </cell>
        </row>
        <row r="98">
          <cell r="A98">
            <v>0.372</v>
          </cell>
        </row>
        <row r="99">
          <cell r="A99">
            <v>1.147</v>
          </cell>
        </row>
        <row r="100">
          <cell r="A100">
            <v>0.21199999999999999</v>
          </cell>
        </row>
        <row r="101">
          <cell r="A101">
            <v>0.38800000000000001</v>
          </cell>
        </row>
        <row r="102">
          <cell r="A102">
            <v>0.30199999999999999</v>
          </cell>
        </row>
        <row r="103">
          <cell r="A103">
            <v>0.9</v>
          </cell>
        </row>
        <row r="104">
          <cell r="A104">
            <v>0</v>
          </cell>
        </row>
        <row r="105">
          <cell r="A105">
            <v>0.44</v>
          </cell>
        </row>
        <row r="106">
          <cell r="A106">
            <v>0.75</v>
          </cell>
        </row>
        <row r="107">
          <cell r="A107">
            <v>0.79</v>
          </cell>
        </row>
        <row r="108">
          <cell r="A108">
            <v>0.52</v>
          </cell>
        </row>
        <row r="109">
          <cell r="A109">
            <v>1.33</v>
          </cell>
        </row>
        <row r="110">
          <cell r="A110">
            <v>1.05</v>
          </cell>
        </row>
        <row r="113">
          <cell r="A113">
            <v>0.52</v>
          </cell>
        </row>
        <row r="118">
          <cell r="A118">
            <v>112.5</v>
          </cell>
        </row>
        <row r="119">
          <cell r="A119">
            <v>9.5220000000000002</v>
          </cell>
        </row>
        <row r="120">
          <cell r="A120">
            <v>40.5</v>
          </cell>
        </row>
        <row r="121">
          <cell r="A121">
            <v>44.099999999999994</v>
          </cell>
        </row>
        <row r="122">
          <cell r="A122">
            <v>44.099999999999994</v>
          </cell>
        </row>
        <row r="123">
          <cell r="A123">
            <v>40.5</v>
          </cell>
        </row>
        <row r="124">
          <cell r="A124">
            <v>3.1500000000000004</v>
          </cell>
        </row>
        <row r="125">
          <cell r="A125">
            <v>2.4</v>
          </cell>
        </row>
        <row r="126">
          <cell r="A126">
            <v>2.4</v>
          </cell>
        </row>
        <row r="127">
          <cell r="A127">
            <v>1</v>
          </cell>
        </row>
        <row r="128">
          <cell r="A128">
            <v>529.95000000000005</v>
          </cell>
        </row>
        <row r="129">
          <cell r="A129">
            <v>529.95000000000005</v>
          </cell>
        </row>
        <row r="137">
          <cell r="H137">
            <v>95180630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rg HR (2)"/>
      <sheetName val="drg HR"/>
      <sheetName val="ready Recknor Calculation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7">
          <cell r="A57">
            <v>15.32</v>
          </cell>
        </row>
        <row r="59">
          <cell r="A59">
            <v>7</v>
          </cell>
        </row>
        <row r="60">
          <cell r="A60">
            <v>1</v>
          </cell>
        </row>
        <row r="61">
          <cell r="A61">
            <v>2</v>
          </cell>
        </row>
        <row r="62">
          <cell r="A62">
            <v>4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5">
          <cell r="A75">
            <v>5.6</v>
          </cell>
        </row>
        <row r="76">
          <cell r="A76">
            <v>77.92</v>
          </cell>
        </row>
        <row r="77">
          <cell r="A77">
            <v>77.92</v>
          </cell>
        </row>
        <row r="78">
          <cell r="A78">
            <v>77.92</v>
          </cell>
        </row>
        <row r="80">
          <cell r="A80">
            <v>1</v>
          </cell>
        </row>
        <row r="81">
          <cell r="A81">
            <v>1</v>
          </cell>
        </row>
        <row r="82">
          <cell r="A82">
            <v>1</v>
          </cell>
        </row>
        <row r="83">
          <cell r="A83">
            <v>155.84</v>
          </cell>
        </row>
        <row r="86">
          <cell r="A86">
            <v>2579.8000000000002</v>
          </cell>
        </row>
        <row r="88">
          <cell r="A88">
            <v>0</v>
          </cell>
        </row>
        <row r="89">
          <cell r="A89">
            <v>0.11600000000000001</v>
          </cell>
        </row>
        <row r="90">
          <cell r="A90">
            <v>0.82899999999999996</v>
          </cell>
        </row>
        <row r="91">
          <cell r="A91">
            <v>0.64200000000000002</v>
          </cell>
        </row>
        <row r="92">
          <cell r="A92">
            <v>0</v>
          </cell>
        </row>
        <row r="93">
          <cell r="A93">
            <v>9.4E-2</v>
          </cell>
        </row>
        <row r="94">
          <cell r="A94">
            <v>0</v>
          </cell>
        </row>
        <row r="95">
          <cell r="A95">
            <v>0.21099999999999999</v>
          </cell>
        </row>
        <row r="96">
          <cell r="A96">
            <v>0.23200000000000001</v>
          </cell>
        </row>
        <row r="97">
          <cell r="A97">
            <v>0.16800000000000001</v>
          </cell>
        </row>
        <row r="98">
          <cell r="A98">
            <v>1.1200000000000001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</v>
          </cell>
        </row>
        <row r="102">
          <cell r="A102">
            <v>0</v>
          </cell>
        </row>
        <row r="103">
          <cell r="A103">
            <v>0</v>
          </cell>
        </row>
        <row r="104">
          <cell r="A104">
            <v>0</v>
          </cell>
        </row>
        <row r="105">
          <cell r="A105">
            <v>0</v>
          </cell>
        </row>
        <row r="113">
          <cell r="A113">
            <v>15</v>
          </cell>
        </row>
        <row r="114">
          <cell r="A114">
            <v>9.5220000000000002</v>
          </cell>
        </row>
        <row r="115">
          <cell r="A115">
            <v>40.5</v>
          </cell>
        </row>
        <row r="116">
          <cell r="A116">
            <v>44.099999999999994</v>
          </cell>
        </row>
        <row r="117">
          <cell r="A117">
            <v>44.099999999999994</v>
          </cell>
        </row>
        <row r="118">
          <cell r="A118">
            <v>40.5</v>
          </cell>
        </row>
        <row r="119">
          <cell r="A119">
            <v>3.1500000000000004</v>
          </cell>
        </row>
        <row r="120">
          <cell r="A120">
            <v>2.4</v>
          </cell>
        </row>
        <row r="121">
          <cell r="A121">
            <v>2.4</v>
          </cell>
        </row>
        <row r="122">
          <cell r="A122">
            <v>1</v>
          </cell>
        </row>
        <row r="123">
          <cell r="A123">
            <v>77.92</v>
          </cell>
        </row>
        <row r="124">
          <cell r="A124">
            <v>77.92</v>
          </cell>
        </row>
        <row r="132">
          <cell r="H132">
            <v>11890947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rg HR (2)"/>
      <sheetName val="drg HR"/>
      <sheetName val="ready Recknor Calculation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  <sheetName val="Sheet3"/>
      <sheetName val="Sheet4"/>
      <sheetName val="COMPARIT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8">
          <cell r="A58">
            <v>30.94</v>
          </cell>
        </row>
        <row r="60">
          <cell r="A60">
            <v>19</v>
          </cell>
        </row>
        <row r="61">
          <cell r="A61">
            <v>5</v>
          </cell>
        </row>
        <row r="62">
          <cell r="A62">
            <v>2</v>
          </cell>
        </row>
        <row r="63">
          <cell r="A63">
            <v>1</v>
          </cell>
        </row>
        <row r="64">
          <cell r="A64">
            <v>0</v>
          </cell>
        </row>
        <row r="65">
          <cell r="A65">
            <v>4</v>
          </cell>
        </row>
        <row r="66">
          <cell r="A66">
            <v>1</v>
          </cell>
        </row>
        <row r="67">
          <cell r="A67">
            <v>3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6">
          <cell r="A76">
            <v>5.6</v>
          </cell>
        </row>
        <row r="77">
          <cell r="A77">
            <v>222.49</v>
          </cell>
        </row>
        <row r="78">
          <cell r="A78">
            <v>222.49</v>
          </cell>
        </row>
        <row r="79">
          <cell r="A79">
            <v>222.49</v>
          </cell>
        </row>
        <row r="84">
          <cell r="A84">
            <v>444.98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2.6890000000000001</v>
          </cell>
        </row>
        <row r="92">
          <cell r="A92">
            <v>0.76600000000000001</v>
          </cell>
        </row>
        <row r="93">
          <cell r="A93">
            <v>0.22700000000000001</v>
          </cell>
        </row>
        <row r="94">
          <cell r="A94">
            <v>1.252</v>
          </cell>
        </row>
        <row r="95">
          <cell r="A95">
            <v>0.50600000000000001</v>
          </cell>
        </row>
        <row r="96">
          <cell r="A96">
            <v>0.315</v>
          </cell>
        </row>
        <row r="97">
          <cell r="A97">
            <v>0.22600000000000001</v>
          </cell>
        </row>
        <row r="98">
          <cell r="A98">
            <v>0</v>
          </cell>
        </row>
        <row r="99">
          <cell r="A99">
            <v>0.33</v>
          </cell>
        </row>
        <row r="100">
          <cell r="A100">
            <v>0.27</v>
          </cell>
        </row>
        <row r="101">
          <cell r="A101">
            <v>0</v>
          </cell>
        </row>
        <row r="102">
          <cell r="A102">
            <v>0.25</v>
          </cell>
        </row>
        <row r="103">
          <cell r="A103">
            <v>0.43</v>
          </cell>
        </row>
        <row r="104">
          <cell r="A104">
            <v>0.64</v>
          </cell>
        </row>
        <row r="105">
          <cell r="A105">
            <v>0</v>
          </cell>
        </row>
        <row r="106">
          <cell r="A106">
            <v>0</v>
          </cell>
        </row>
        <row r="114">
          <cell r="A114">
            <v>20</v>
          </cell>
        </row>
        <row r="115">
          <cell r="A115">
            <v>9.5220000000000002</v>
          </cell>
        </row>
        <row r="116">
          <cell r="A116">
            <v>40.5</v>
          </cell>
        </row>
        <row r="117">
          <cell r="A117">
            <v>44.099999999999994</v>
          </cell>
        </row>
        <row r="118">
          <cell r="A118">
            <v>44.099999999999994</v>
          </cell>
        </row>
        <row r="119">
          <cell r="A119">
            <v>40.5</v>
          </cell>
        </row>
        <row r="120">
          <cell r="A120">
            <v>3.1500000000000004</v>
          </cell>
        </row>
        <row r="121">
          <cell r="A121">
            <v>2.4</v>
          </cell>
        </row>
        <row r="122">
          <cell r="A122">
            <v>2.4</v>
          </cell>
        </row>
        <row r="123">
          <cell r="A123">
            <v>1</v>
          </cell>
        </row>
        <row r="124">
          <cell r="A124">
            <v>222.49</v>
          </cell>
        </row>
        <row r="125">
          <cell r="A125">
            <v>222.49</v>
          </cell>
        </row>
        <row r="133">
          <cell r="H133">
            <v>30191058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rg HR (2)"/>
      <sheetName val="drg HR"/>
      <sheetName val="ready Recknor Calculation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8">
          <cell r="A58">
            <v>77.03</v>
          </cell>
        </row>
        <row r="60">
          <cell r="A60">
            <v>95</v>
          </cell>
        </row>
        <row r="61">
          <cell r="A61">
            <v>13</v>
          </cell>
        </row>
        <row r="62">
          <cell r="A62">
            <v>6</v>
          </cell>
        </row>
        <row r="63">
          <cell r="A63">
            <v>2</v>
          </cell>
        </row>
        <row r="64">
          <cell r="A64">
            <v>3</v>
          </cell>
        </row>
        <row r="65">
          <cell r="A65">
            <v>3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1</v>
          </cell>
        </row>
        <row r="69">
          <cell r="A69">
            <v>3</v>
          </cell>
        </row>
        <row r="70">
          <cell r="A70">
            <v>0</v>
          </cell>
        </row>
        <row r="76">
          <cell r="A76">
            <v>5.6</v>
          </cell>
        </row>
        <row r="77">
          <cell r="A77">
            <v>636.46</v>
          </cell>
        </row>
        <row r="78">
          <cell r="A78">
            <v>636.46</v>
          </cell>
        </row>
        <row r="79">
          <cell r="A79">
            <v>636.46</v>
          </cell>
        </row>
        <row r="84">
          <cell r="A84">
            <v>1272.92</v>
          </cell>
        </row>
        <row r="87">
          <cell r="A87">
            <v>1106.21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7.21</v>
          </cell>
        </row>
        <row r="92">
          <cell r="A92">
            <v>1.36</v>
          </cell>
        </row>
        <row r="93">
          <cell r="A93">
            <v>2.0099999999999998</v>
          </cell>
        </row>
        <row r="94">
          <cell r="A94">
            <v>1.02</v>
          </cell>
        </row>
        <row r="95">
          <cell r="A95">
            <v>1.27</v>
          </cell>
        </row>
        <row r="96">
          <cell r="A96">
            <v>0.41</v>
          </cell>
        </row>
        <row r="97">
          <cell r="A97">
            <v>0.71</v>
          </cell>
        </row>
        <row r="98">
          <cell r="A98">
            <v>1.4</v>
          </cell>
        </row>
        <row r="99">
          <cell r="A99">
            <v>2.41</v>
          </cell>
        </row>
        <row r="100">
          <cell r="A100">
            <v>0.39</v>
          </cell>
        </row>
        <row r="101">
          <cell r="A101">
            <v>0.21</v>
          </cell>
        </row>
        <row r="102">
          <cell r="A102">
            <v>0.38</v>
          </cell>
        </row>
        <row r="103">
          <cell r="A103">
            <v>0.25</v>
          </cell>
        </row>
        <row r="104">
          <cell r="A104">
            <v>0</v>
          </cell>
        </row>
        <row r="105">
          <cell r="A105">
            <v>0.32</v>
          </cell>
        </row>
        <row r="106">
          <cell r="A106">
            <v>0.54</v>
          </cell>
        </row>
        <row r="109">
          <cell r="A109">
            <v>0.56999999999999995</v>
          </cell>
        </row>
        <row r="114">
          <cell r="A114">
            <v>117.5</v>
          </cell>
        </row>
        <row r="115">
          <cell r="A115">
            <v>9.52</v>
          </cell>
        </row>
        <row r="116">
          <cell r="A116">
            <v>40.5</v>
          </cell>
        </row>
        <row r="117">
          <cell r="A117">
            <v>44.099999999999994</v>
          </cell>
        </row>
        <row r="118">
          <cell r="A118">
            <v>44.099999999999994</v>
          </cell>
        </row>
        <row r="119">
          <cell r="A119">
            <v>40.5</v>
          </cell>
        </row>
        <row r="120">
          <cell r="A120">
            <v>3.1500000000000004</v>
          </cell>
        </row>
        <row r="121">
          <cell r="A121">
            <v>2.4</v>
          </cell>
        </row>
        <row r="122">
          <cell r="A122">
            <v>2.4</v>
          </cell>
        </row>
        <row r="123">
          <cell r="A123">
            <v>1</v>
          </cell>
        </row>
        <row r="124">
          <cell r="A124">
            <v>636.46</v>
          </cell>
        </row>
        <row r="125">
          <cell r="A125">
            <v>636.46</v>
          </cell>
        </row>
        <row r="133">
          <cell r="H133">
            <v>94968184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CC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rg HR (2)"/>
      <sheetName val="drg HR"/>
      <sheetName val="ready Recknor Calculation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8">
          <cell r="A58">
            <v>22.29</v>
          </cell>
        </row>
        <row r="60">
          <cell r="A60">
            <v>7</v>
          </cell>
        </row>
        <row r="61">
          <cell r="A61">
            <v>10</v>
          </cell>
        </row>
        <row r="62">
          <cell r="A62">
            <v>4</v>
          </cell>
        </row>
        <row r="63">
          <cell r="A63">
            <v>1</v>
          </cell>
        </row>
        <row r="64">
          <cell r="A64">
            <v>1</v>
          </cell>
        </row>
        <row r="65">
          <cell r="A65">
            <v>1</v>
          </cell>
        </row>
        <row r="66">
          <cell r="A66">
            <v>2</v>
          </cell>
        </row>
        <row r="67">
          <cell r="A67">
            <v>1</v>
          </cell>
        </row>
        <row r="68">
          <cell r="A68">
            <v>2</v>
          </cell>
        </row>
        <row r="69">
          <cell r="A69">
            <v>0</v>
          </cell>
        </row>
        <row r="70">
          <cell r="A70">
            <v>0</v>
          </cell>
        </row>
        <row r="76">
          <cell r="A76">
            <v>5.6</v>
          </cell>
        </row>
        <row r="77">
          <cell r="A77">
            <v>161.19</v>
          </cell>
        </row>
        <row r="78">
          <cell r="A78">
            <v>161.19</v>
          </cell>
        </row>
        <row r="79">
          <cell r="A79">
            <v>161.19</v>
          </cell>
        </row>
        <row r="81">
          <cell r="A81">
            <v>1</v>
          </cell>
        </row>
        <row r="82">
          <cell r="A82">
            <v>1</v>
          </cell>
        </row>
        <row r="83">
          <cell r="A83">
            <v>1</v>
          </cell>
        </row>
        <row r="84">
          <cell r="A84">
            <v>322.38</v>
          </cell>
        </row>
        <row r="87">
          <cell r="A87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1.827</v>
          </cell>
        </row>
        <row r="92">
          <cell r="A92">
            <v>0.86599999999999999</v>
          </cell>
        </row>
        <row r="93">
          <cell r="A93">
            <v>0.2</v>
          </cell>
        </row>
        <row r="94">
          <cell r="A94">
            <v>0.46100000000000002</v>
          </cell>
        </row>
        <row r="95">
          <cell r="A95">
            <v>0</v>
          </cell>
        </row>
        <row r="96">
          <cell r="A96">
            <v>0.29899999999999999</v>
          </cell>
        </row>
        <row r="97">
          <cell r="A97">
            <v>0.23699999999999999</v>
          </cell>
        </row>
        <row r="98">
          <cell r="A98">
            <v>0</v>
          </cell>
        </row>
        <row r="99">
          <cell r="A99">
            <v>0</v>
          </cell>
        </row>
        <row r="100">
          <cell r="A100">
            <v>0</v>
          </cell>
        </row>
        <row r="101">
          <cell r="A101">
            <v>0.31</v>
          </cell>
        </row>
        <row r="102">
          <cell r="A102">
            <v>0.63</v>
          </cell>
        </row>
        <row r="103">
          <cell r="A103">
            <v>0.17</v>
          </cell>
        </row>
        <row r="104">
          <cell r="A104">
            <v>0.52</v>
          </cell>
        </row>
        <row r="105">
          <cell r="A105">
            <v>0.18</v>
          </cell>
        </row>
        <row r="106">
          <cell r="A106">
            <v>0</v>
          </cell>
        </row>
        <row r="109">
          <cell r="A109">
            <v>0</v>
          </cell>
        </row>
        <row r="114">
          <cell r="A114">
            <v>35</v>
          </cell>
        </row>
        <row r="115">
          <cell r="A115">
            <v>9.5220000000000002</v>
          </cell>
        </row>
        <row r="116">
          <cell r="A116">
            <v>40.5</v>
          </cell>
        </row>
        <row r="117">
          <cell r="A117">
            <v>44.099999999999994</v>
          </cell>
        </row>
        <row r="118">
          <cell r="A118">
            <v>44.099999999999994</v>
          </cell>
        </row>
        <row r="119">
          <cell r="A119">
            <v>40.5</v>
          </cell>
        </row>
        <row r="120">
          <cell r="A120">
            <v>3.1500000000000004</v>
          </cell>
        </row>
        <row r="121">
          <cell r="A121">
            <v>2.4</v>
          </cell>
        </row>
        <row r="122">
          <cell r="A122">
            <v>2.4</v>
          </cell>
        </row>
        <row r="123">
          <cell r="A123">
            <v>1</v>
          </cell>
        </row>
        <row r="124">
          <cell r="A124">
            <v>161.19</v>
          </cell>
        </row>
        <row r="125">
          <cell r="A125">
            <v>161.19</v>
          </cell>
        </row>
        <row r="133">
          <cell r="H133">
            <v>26500987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Forest Length"/>
      <sheetName val="CDO VETTING CHarges 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esHR"/>
      <sheetName val="drg HR (2)"/>
      <sheetName val="drg HR"/>
      <sheetName val="ready Recknor Calculation"/>
      <sheetName val="ready Reck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37">
          <cell r="H137">
            <v>26797156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Sheet3"/>
      <sheetName val="Valve cham"/>
      <sheetName val="T Joint"/>
      <sheetName val="desHR (3)"/>
      <sheetName val="desHR"/>
      <sheetName val="drg HR (2)"/>
      <sheetName val="drg HR"/>
      <sheetName val="ready Recknor Calculation"/>
      <sheetName val="ready Reck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36">
          <cell r="H136">
            <v>7050991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esHR"/>
      <sheetName val="drg HR (2)"/>
      <sheetName val="drg HR"/>
      <sheetName val="ready Recknor Calculation"/>
      <sheetName val="ready Reck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5431.25</v>
          </cell>
        </row>
        <row r="137">
          <cell r="H137">
            <v>100619832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rg HR (2)"/>
      <sheetName val="drg HR"/>
      <sheetName val="ready Recknor Calculation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32">
          <cell r="H132">
            <v>11917084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rg HR (2)"/>
      <sheetName val="drg HR"/>
      <sheetName val="ready Recknor Calculation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33">
          <cell r="H133">
            <v>31809007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rg HR (2)"/>
      <sheetName val="drg HR"/>
      <sheetName val="ready Recknor Calculation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33">
          <cell r="H133">
            <v>80359545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 (2)"/>
      <sheetName val="DATA"/>
      <sheetName val="Face"/>
      <sheetName val="index"/>
      <sheetName val="CL"/>
      <sheetName val="Checklistcircle"/>
      <sheetName val="Cer"/>
      <sheetName val="FS"/>
      <sheetName val="GR"/>
      <sheetName val="CC"/>
      <sheetName val="General Abstract"/>
      <sheetName val="Abstract"/>
      <sheetName val="Roy PD"/>
      <sheetName val="MTS"/>
      <sheetName val="Lead"/>
      <sheetName val="lead calculator "/>
      <sheetName val="RA pdn"/>
      <sheetName val="MTS INTAKE CHEMBER"/>
      <sheetName val="intake chamber final"/>
      <sheetName val="Valve cham"/>
      <sheetName val="T Joint"/>
      <sheetName val="desHR (3)"/>
      <sheetName val="drg HR (2)"/>
      <sheetName val="drg HR"/>
      <sheetName val="ready Recknor Calculation"/>
      <sheetName val="DN"/>
      <sheetName val="Abs HR (2)"/>
      <sheetName val="Royalty HR (2)"/>
      <sheetName val="mtsHR (2)"/>
      <sheetName val="desHR (2)"/>
      <sheetName val="Gen Rep"/>
      <sheetName val="Sheet1"/>
      <sheetName val="Front (CADW)"/>
      <sheetName val="Abstract (Group)CADWM"/>
      <sheetName val="MTS(CADWM)"/>
      <sheetName val="Roy 3"/>
      <sheetName val="Roy 2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33">
          <cell r="H133">
            <v>30708741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47"/>
  <sheetViews>
    <sheetView tabSelected="1" zoomScaleNormal="100" zoomScaleSheetLayoutView="130" workbookViewId="0">
      <pane ySplit="4" topLeftCell="A78" activePane="bottomLeft" state="frozen"/>
      <selection pane="bottomLeft" activeCell="E36" sqref="E36"/>
    </sheetView>
  </sheetViews>
  <sheetFormatPr defaultColWidth="9.33203125" defaultRowHeight="10.8" x14ac:dyDescent="0.25"/>
  <cols>
    <col min="1" max="1" width="2.33203125" style="22" customWidth="1"/>
    <col min="2" max="2" width="6.33203125" style="22" customWidth="1"/>
    <col min="3" max="3" width="13.6640625" style="22" customWidth="1"/>
    <col min="4" max="4" width="7.109375" style="22" customWidth="1"/>
    <col min="5" max="5" width="13.33203125" style="22" bestFit="1" customWidth="1"/>
    <col min="6" max="8" width="9" style="22" customWidth="1"/>
    <col min="9" max="9" width="10.6640625" style="21" bestFit="1" customWidth="1"/>
    <col min="10" max="15" width="9" style="22" customWidth="1"/>
    <col min="16" max="17" width="9.6640625" style="22" bestFit="1" customWidth="1"/>
    <col min="18" max="21" width="9" style="22" customWidth="1"/>
    <col min="22" max="22" width="8.6640625" style="22" bestFit="1" customWidth="1"/>
    <col min="23" max="23" width="16" style="22" bestFit="1" customWidth="1"/>
    <col min="24" max="24" width="9.6640625" style="22" bestFit="1" customWidth="1"/>
    <col min="25" max="25" width="17" style="22" bestFit="1" customWidth="1"/>
    <col min="26" max="26" width="15.44140625" style="21" bestFit="1" customWidth="1"/>
    <col min="27" max="29" width="11.77734375" style="22" customWidth="1"/>
    <col min="30" max="30" width="11.6640625" style="22" bestFit="1" customWidth="1"/>
    <col min="31" max="16384" width="9.33203125" style="22"/>
  </cols>
  <sheetData>
    <row r="1" spans="1:32" ht="25.2" customHeight="1" x14ac:dyDescent="0.25">
      <c r="A1" s="288" t="s">
        <v>61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9"/>
      <c r="U1" s="289"/>
      <c r="V1" s="289"/>
      <c r="W1" s="328" t="s">
        <v>94</v>
      </c>
      <c r="X1" s="328" t="s">
        <v>1</v>
      </c>
      <c r="Y1" s="328" t="s">
        <v>95</v>
      </c>
    </row>
    <row r="2" spans="1:32" x14ac:dyDescent="0.25">
      <c r="A2" s="266" t="s">
        <v>2</v>
      </c>
      <c r="B2" s="267"/>
      <c r="C2" s="267"/>
      <c r="D2" s="268" t="s">
        <v>3</v>
      </c>
      <c r="E2" s="303" t="s">
        <v>77</v>
      </c>
      <c r="F2" s="23" t="s">
        <v>0</v>
      </c>
      <c r="G2" s="23" t="s">
        <v>1</v>
      </c>
      <c r="H2" s="24" t="s">
        <v>0</v>
      </c>
      <c r="I2" s="24" t="s">
        <v>1</v>
      </c>
      <c r="J2" s="25" t="s">
        <v>0</v>
      </c>
      <c r="K2" s="25" t="s">
        <v>1</v>
      </c>
      <c r="L2" s="26" t="s">
        <v>0</v>
      </c>
      <c r="M2" s="26" t="s">
        <v>1</v>
      </c>
      <c r="N2" s="27" t="s">
        <v>0</v>
      </c>
      <c r="O2" s="27" t="s">
        <v>1</v>
      </c>
      <c r="P2" s="28" t="s">
        <v>0</v>
      </c>
      <c r="Q2" s="28" t="s">
        <v>1</v>
      </c>
      <c r="R2" s="29" t="s">
        <v>0</v>
      </c>
      <c r="S2" s="29" t="s">
        <v>1</v>
      </c>
      <c r="T2" s="170" t="s">
        <v>0</v>
      </c>
      <c r="U2" s="170" t="s">
        <v>1</v>
      </c>
      <c r="V2" s="30" t="s">
        <v>0</v>
      </c>
      <c r="W2" s="329"/>
      <c r="X2" s="329"/>
      <c r="Y2" s="329"/>
    </row>
    <row r="3" spans="1:32" ht="27" customHeight="1" x14ac:dyDescent="0.25">
      <c r="A3" s="324"/>
      <c r="B3" s="325"/>
      <c r="C3" s="325"/>
      <c r="D3" s="326"/>
      <c r="E3" s="327"/>
      <c r="F3" s="252" t="s">
        <v>4</v>
      </c>
      <c r="G3" s="253"/>
      <c r="H3" s="250" t="s">
        <v>62</v>
      </c>
      <c r="I3" s="251"/>
      <c r="J3" s="293" t="s">
        <v>63</v>
      </c>
      <c r="K3" s="294"/>
      <c r="L3" s="295" t="s">
        <v>76</v>
      </c>
      <c r="M3" s="296"/>
      <c r="N3" s="297" t="s">
        <v>65</v>
      </c>
      <c r="O3" s="298"/>
      <c r="P3" s="299" t="s">
        <v>66</v>
      </c>
      <c r="Q3" s="300"/>
      <c r="R3" s="301" t="s">
        <v>67</v>
      </c>
      <c r="S3" s="302"/>
      <c r="T3" s="308" t="s">
        <v>123</v>
      </c>
      <c r="U3" s="309"/>
      <c r="V3" s="33" t="s">
        <v>5</v>
      </c>
      <c r="W3" s="34"/>
      <c r="X3" s="34" t="s">
        <v>5</v>
      </c>
      <c r="Y3" s="3"/>
    </row>
    <row r="4" spans="1:32" x14ac:dyDescent="0.25">
      <c r="A4" s="269"/>
      <c r="B4" s="270"/>
      <c r="C4" s="270"/>
      <c r="D4" s="271"/>
      <c r="E4" s="304"/>
      <c r="F4" s="35" t="s">
        <v>6</v>
      </c>
      <c r="G4" s="35" t="s">
        <v>6</v>
      </c>
      <c r="H4" s="36" t="s">
        <v>6</v>
      </c>
      <c r="I4" s="36" t="s">
        <v>6</v>
      </c>
      <c r="J4" s="37" t="s">
        <v>6</v>
      </c>
      <c r="K4" s="37" t="s">
        <v>6</v>
      </c>
      <c r="L4" s="38" t="s">
        <v>6</v>
      </c>
      <c r="M4" s="38" t="s">
        <v>6</v>
      </c>
      <c r="N4" s="39" t="s">
        <v>6</v>
      </c>
      <c r="O4" s="39" t="s">
        <v>6</v>
      </c>
      <c r="P4" s="40" t="s">
        <v>6</v>
      </c>
      <c r="Q4" s="40" t="s">
        <v>6</v>
      </c>
      <c r="R4" s="41" t="s">
        <v>6</v>
      </c>
      <c r="S4" s="41" t="s">
        <v>6</v>
      </c>
      <c r="T4" s="171" t="s">
        <v>6</v>
      </c>
      <c r="U4" s="171" t="s">
        <v>6</v>
      </c>
      <c r="V4" s="33" t="s">
        <v>6</v>
      </c>
      <c r="W4" s="34">
        <f>+W146/V5</f>
        <v>197299.06474272202</v>
      </c>
      <c r="X4" s="34" t="s">
        <v>6</v>
      </c>
      <c r="Y4" s="34">
        <f>+Y146/X5</f>
        <v>171459.67867521965</v>
      </c>
      <c r="AA4" s="22">
        <f>+Y4*G5</f>
        <v>25619505.187651318</v>
      </c>
    </row>
    <row r="5" spans="1:32" x14ac:dyDescent="0.25">
      <c r="A5" s="290" t="s">
        <v>75</v>
      </c>
      <c r="B5" s="291"/>
      <c r="C5" s="292"/>
      <c r="D5" s="33" t="s">
        <v>7</v>
      </c>
      <c r="E5" s="42">
        <v>0</v>
      </c>
      <c r="F5" s="172">
        <v>124.95</v>
      </c>
      <c r="G5" s="172">
        <v>149.41999999999999</v>
      </c>
      <c r="H5" s="173">
        <v>47.610999999999997</v>
      </c>
      <c r="I5" s="173">
        <v>58.72</v>
      </c>
      <c r="J5" s="174">
        <v>454.04</v>
      </c>
      <c r="K5" s="174">
        <v>530.14</v>
      </c>
      <c r="L5" s="175">
        <v>52.19</v>
      </c>
      <c r="M5" s="175">
        <v>77.92</v>
      </c>
      <c r="N5" s="176">
        <v>164.88</v>
      </c>
      <c r="O5" s="176">
        <v>221.79</v>
      </c>
      <c r="P5" s="177">
        <v>493.50200000000001</v>
      </c>
      <c r="Q5" s="178">
        <v>612.33000000000004</v>
      </c>
      <c r="R5" s="179">
        <v>133.58000000000001</v>
      </c>
      <c r="S5" s="179">
        <v>162.07</v>
      </c>
      <c r="T5" s="180"/>
      <c r="U5" s="180">
        <v>33.86</v>
      </c>
      <c r="V5" s="43">
        <v>1470.75</v>
      </c>
      <c r="W5" s="44">
        <f>+(W25+W27)/V5</f>
        <v>114004.66540880501</v>
      </c>
      <c r="X5" s="45">
        <f>S5+Q5+O5+M5+K5+I5+G5</f>
        <v>1812.39</v>
      </c>
      <c r="Y5" s="44">
        <f>+(Y25+Y27)/X5</f>
        <v>99849.389486534346</v>
      </c>
      <c r="AA5" s="46"/>
    </row>
    <row r="6" spans="1:32" hidden="1" x14ac:dyDescent="0.25">
      <c r="A6" s="282" t="s">
        <v>8</v>
      </c>
      <c r="B6" s="283"/>
      <c r="C6" s="284"/>
      <c r="D6" s="47"/>
      <c r="E6" s="47"/>
      <c r="F6" s="181"/>
      <c r="G6" s="181"/>
      <c r="H6" s="182"/>
      <c r="I6" s="182"/>
      <c r="J6" s="183"/>
      <c r="K6" s="183"/>
      <c r="L6" s="184"/>
      <c r="M6" s="184"/>
      <c r="N6" s="185"/>
      <c r="O6" s="185"/>
      <c r="P6" s="186"/>
      <c r="Q6" s="186"/>
      <c r="R6" s="187"/>
      <c r="S6" s="187"/>
      <c r="T6" s="188"/>
      <c r="U6" s="188"/>
      <c r="V6" s="47"/>
      <c r="W6" s="3"/>
      <c r="X6" s="3"/>
      <c r="Y6" s="3"/>
      <c r="AF6" s="48"/>
    </row>
    <row r="7" spans="1:32" hidden="1" x14ac:dyDescent="0.25">
      <c r="A7" s="49" t="s">
        <v>9</v>
      </c>
      <c r="B7" s="50">
        <v>110</v>
      </c>
      <c r="C7" s="51" t="s">
        <v>10</v>
      </c>
      <c r="D7" s="52" t="s">
        <v>11</v>
      </c>
      <c r="E7" s="77">
        <v>329.2</v>
      </c>
      <c r="F7" s="158">
        <v>884</v>
      </c>
      <c r="G7" s="158">
        <v>0</v>
      </c>
      <c r="H7" s="159">
        <v>0</v>
      </c>
      <c r="I7" s="159">
        <v>0</v>
      </c>
      <c r="J7" s="160">
        <v>208</v>
      </c>
      <c r="K7" s="160">
        <v>0</v>
      </c>
      <c r="L7" s="161">
        <v>0</v>
      </c>
      <c r="M7" s="161">
        <v>0</v>
      </c>
      <c r="N7" s="162">
        <v>0</v>
      </c>
      <c r="O7" s="162">
        <v>0</v>
      </c>
      <c r="P7" s="163">
        <v>0</v>
      </c>
      <c r="Q7" s="163">
        <v>0</v>
      </c>
      <c r="R7" s="164">
        <v>0</v>
      </c>
      <c r="S7" s="164">
        <v>0</v>
      </c>
      <c r="T7" s="165"/>
      <c r="U7" s="165"/>
      <c r="V7" s="54">
        <f>R7+P7+N7+L7+J7+H7+F7</f>
        <v>1092</v>
      </c>
      <c r="W7" s="53">
        <f>+V7*$E7</f>
        <v>359486.39999999997</v>
      </c>
      <c r="X7" s="54">
        <f t="shared" ref="X7:X24" si="0">S7+Q7+O7+M7+K7+I7+G7</f>
        <v>0</v>
      </c>
      <c r="Y7" s="53">
        <f>+X7*$E7</f>
        <v>0</v>
      </c>
      <c r="Z7" s="137">
        <f t="shared" ref="Z7:Z24" si="1">+Y7-W7</f>
        <v>-359486.39999999997</v>
      </c>
      <c r="AA7" s="4">
        <f t="shared" ref="AA7:AA25" si="2">+Z7/W7</f>
        <v>-1</v>
      </c>
      <c r="AD7" s="48"/>
      <c r="AE7" s="48"/>
    </row>
    <row r="8" spans="1:32" hidden="1" x14ac:dyDescent="0.25">
      <c r="A8" s="49" t="s">
        <v>12</v>
      </c>
      <c r="B8" s="50">
        <v>125</v>
      </c>
      <c r="C8" s="51" t="s">
        <v>10</v>
      </c>
      <c r="D8" s="52" t="s">
        <v>11</v>
      </c>
      <c r="E8" s="77">
        <v>394.9</v>
      </c>
      <c r="F8" s="120">
        <v>1542</v>
      </c>
      <c r="G8" s="120">
        <v>0</v>
      </c>
      <c r="H8" s="121">
        <v>0</v>
      </c>
      <c r="I8" s="121">
        <v>0</v>
      </c>
      <c r="J8" s="122">
        <v>2239</v>
      </c>
      <c r="K8" s="122">
        <v>0</v>
      </c>
      <c r="L8" s="123">
        <v>856</v>
      </c>
      <c r="M8" s="123">
        <v>0</v>
      </c>
      <c r="N8" s="124">
        <v>0</v>
      </c>
      <c r="O8" s="124">
        <v>0</v>
      </c>
      <c r="P8" s="125">
        <v>0</v>
      </c>
      <c r="Q8" s="125">
        <v>0</v>
      </c>
      <c r="R8" s="126">
        <v>0</v>
      </c>
      <c r="S8" s="126">
        <v>0</v>
      </c>
      <c r="T8" s="166"/>
      <c r="U8" s="166"/>
      <c r="V8" s="54">
        <f t="shared" ref="V8:V24" si="3">R8+P8+N8+L8+J8+H8+F8</f>
        <v>4637</v>
      </c>
      <c r="W8" s="53">
        <f t="shared" ref="W8:Y24" si="4">+V8*$E8</f>
        <v>1831151.2999999998</v>
      </c>
      <c r="X8" s="54">
        <f t="shared" si="0"/>
        <v>0</v>
      </c>
      <c r="Y8" s="53">
        <f t="shared" si="4"/>
        <v>0</v>
      </c>
      <c r="Z8" s="137">
        <f t="shared" si="1"/>
        <v>-1831151.2999999998</v>
      </c>
      <c r="AA8" s="4">
        <f t="shared" si="2"/>
        <v>-1</v>
      </c>
      <c r="AC8" s="48"/>
      <c r="AF8" s="48"/>
    </row>
    <row r="9" spans="1:32" hidden="1" x14ac:dyDescent="0.25">
      <c r="A9" s="49" t="s">
        <v>13</v>
      </c>
      <c r="B9" s="50">
        <v>140</v>
      </c>
      <c r="C9" s="51" t="s">
        <v>10</v>
      </c>
      <c r="D9" s="52" t="s">
        <v>11</v>
      </c>
      <c r="E9" s="77">
        <v>487.35</v>
      </c>
      <c r="F9" s="120">
        <v>327</v>
      </c>
      <c r="G9" s="120">
        <v>1291.3</v>
      </c>
      <c r="H9" s="121">
        <v>476</v>
      </c>
      <c r="I9" s="121">
        <v>1216</v>
      </c>
      <c r="J9" s="122">
        <v>4731</v>
      </c>
      <c r="K9" s="122">
        <v>6810</v>
      </c>
      <c r="L9" s="123">
        <v>447</v>
      </c>
      <c r="M9" s="123">
        <v>1587</v>
      </c>
      <c r="N9" s="124">
        <v>3205</v>
      </c>
      <c r="O9" s="124">
        <v>2527</v>
      </c>
      <c r="P9" s="125">
        <v>6659</v>
      </c>
      <c r="Q9" s="125">
        <v>7194</v>
      </c>
      <c r="R9" s="126">
        <v>586</v>
      </c>
      <c r="S9" s="126">
        <v>1827</v>
      </c>
      <c r="T9" s="166"/>
      <c r="U9" s="166">
        <v>112</v>
      </c>
      <c r="V9" s="54">
        <f t="shared" si="3"/>
        <v>16431</v>
      </c>
      <c r="W9" s="53">
        <f t="shared" si="4"/>
        <v>8007647.8500000006</v>
      </c>
      <c r="X9" s="54">
        <f t="shared" si="0"/>
        <v>22452.3</v>
      </c>
      <c r="Y9" s="53">
        <f t="shared" si="4"/>
        <v>10942128.404999999</v>
      </c>
      <c r="Z9" s="137">
        <f t="shared" si="1"/>
        <v>2934480.5549999988</v>
      </c>
      <c r="AA9" s="4">
        <f t="shared" si="2"/>
        <v>0.3664597407339783</v>
      </c>
      <c r="AB9" s="48"/>
      <c r="AC9" s="48"/>
      <c r="AD9" s="48"/>
      <c r="AE9" s="48"/>
    </row>
    <row r="10" spans="1:32" hidden="1" x14ac:dyDescent="0.25">
      <c r="A10" s="49" t="s">
        <v>14</v>
      </c>
      <c r="B10" s="50">
        <v>160</v>
      </c>
      <c r="C10" s="51" t="s">
        <v>10</v>
      </c>
      <c r="D10" s="52" t="s">
        <v>11</v>
      </c>
      <c r="E10" s="77">
        <v>616.95000000000005</v>
      </c>
      <c r="F10" s="120">
        <v>664</v>
      </c>
      <c r="G10" s="120">
        <v>383.03</v>
      </c>
      <c r="H10" s="121">
        <v>888</v>
      </c>
      <c r="I10" s="121">
        <v>0</v>
      </c>
      <c r="J10" s="122">
        <v>780</v>
      </c>
      <c r="K10" s="122">
        <v>1458</v>
      </c>
      <c r="L10" s="123">
        <v>0</v>
      </c>
      <c r="M10" s="123">
        <v>0</v>
      </c>
      <c r="N10" s="124">
        <v>944</v>
      </c>
      <c r="O10" s="124">
        <v>705</v>
      </c>
      <c r="P10" s="125">
        <v>589</v>
      </c>
      <c r="Q10" s="125">
        <v>919</v>
      </c>
      <c r="R10" s="126">
        <v>1324</v>
      </c>
      <c r="S10" s="126">
        <v>866</v>
      </c>
      <c r="T10" s="166"/>
      <c r="U10" s="166">
        <v>297</v>
      </c>
      <c r="V10" s="54">
        <f t="shared" si="3"/>
        <v>5189</v>
      </c>
      <c r="W10" s="53">
        <f t="shared" si="4"/>
        <v>3201353.5500000003</v>
      </c>
      <c r="X10" s="54">
        <f t="shared" si="0"/>
        <v>4331.03</v>
      </c>
      <c r="Y10" s="53">
        <f t="shared" si="4"/>
        <v>2672028.9585000002</v>
      </c>
      <c r="Z10" s="137">
        <f t="shared" si="1"/>
        <v>-529324.5915000001</v>
      </c>
      <c r="AA10" s="4">
        <f t="shared" si="2"/>
        <v>-0.16534399691655427</v>
      </c>
      <c r="AB10" s="48"/>
      <c r="AC10" s="48"/>
      <c r="AD10" s="48"/>
    </row>
    <row r="11" spans="1:32" hidden="1" x14ac:dyDescent="0.25">
      <c r="A11" s="49" t="s">
        <v>15</v>
      </c>
      <c r="B11" s="50">
        <v>180</v>
      </c>
      <c r="C11" s="51" t="s">
        <v>10</v>
      </c>
      <c r="D11" s="52" t="s">
        <v>11</v>
      </c>
      <c r="E11" s="77">
        <v>757.95</v>
      </c>
      <c r="F11" s="120">
        <v>1043</v>
      </c>
      <c r="G11" s="120">
        <v>610.01</v>
      </c>
      <c r="H11" s="121">
        <v>465</v>
      </c>
      <c r="I11" s="121">
        <v>0</v>
      </c>
      <c r="J11" s="122">
        <v>993</v>
      </c>
      <c r="K11" s="122">
        <v>1336</v>
      </c>
      <c r="L11" s="123">
        <v>322</v>
      </c>
      <c r="M11" s="123">
        <v>0</v>
      </c>
      <c r="N11" s="124">
        <v>350</v>
      </c>
      <c r="O11" s="124">
        <v>227</v>
      </c>
      <c r="P11" s="125">
        <v>529</v>
      </c>
      <c r="Q11" s="125">
        <v>1712</v>
      </c>
      <c r="R11" s="126">
        <v>109</v>
      </c>
      <c r="S11" s="126">
        <v>200</v>
      </c>
      <c r="T11" s="166"/>
      <c r="U11" s="166"/>
      <c r="V11" s="54">
        <f t="shared" si="3"/>
        <v>3811</v>
      </c>
      <c r="W11" s="53">
        <f t="shared" si="4"/>
        <v>2888547.45</v>
      </c>
      <c r="X11" s="54">
        <f t="shared" si="0"/>
        <v>4085.01</v>
      </c>
      <c r="Y11" s="53">
        <f t="shared" si="4"/>
        <v>3096233.3295000005</v>
      </c>
      <c r="Z11" s="137">
        <f t="shared" si="1"/>
        <v>207685.87950000027</v>
      </c>
      <c r="AA11" s="4">
        <f t="shared" si="2"/>
        <v>7.1899763841511505E-2</v>
      </c>
      <c r="AB11" s="48"/>
    </row>
    <row r="12" spans="1:32" hidden="1" x14ac:dyDescent="0.25">
      <c r="A12" s="49" t="s">
        <v>16</v>
      </c>
      <c r="B12" s="50">
        <v>200</v>
      </c>
      <c r="C12" s="51" t="s">
        <v>10</v>
      </c>
      <c r="D12" s="52" t="s">
        <v>11</v>
      </c>
      <c r="E12" s="77">
        <v>922.4</v>
      </c>
      <c r="F12" s="120">
        <v>836</v>
      </c>
      <c r="G12" s="120">
        <v>417.52</v>
      </c>
      <c r="H12" s="121">
        <v>0</v>
      </c>
      <c r="I12" s="121">
        <v>355</v>
      </c>
      <c r="J12" s="122">
        <v>0</v>
      </c>
      <c r="K12" s="122">
        <v>583</v>
      </c>
      <c r="L12" s="123">
        <v>0</v>
      </c>
      <c r="M12" s="123">
        <v>94</v>
      </c>
      <c r="N12" s="124">
        <v>287</v>
      </c>
      <c r="O12" s="124">
        <v>1250</v>
      </c>
      <c r="P12" s="125">
        <v>591</v>
      </c>
      <c r="Q12" s="125">
        <v>824</v>
      </c>
      <c r="R12" s="126">
        <v>169</v>
      </c>
      <c r="S12" s="126">
        <v>461</v>
      </c>
      <c r="T12" s="166"/>
      <c r="U12" s="166">
        <v>10</v>
      </c>
      <c r="V12" s="54">
        <f t="shared" si="3"/>
        <v>1883</v>
      </c>
      <c r="W12" s="53">
        <f t="shared" si="4"/>
        <v>1736879.2</v>
      </c>
      <c r="X12" s="54">
        <f t="shared" si="0"/>
        <v>3984.52</v>
      </c>
      <c r="Y12" s="53">
        <f t="shared" si="4"/>
        <v>3675321.2479999997</v>
      </c>
      <c r="Z12" s="137">
        <f t="shared" si="1"/>
        <v>1938442.0479999997</v>
      </c>
      <c r="AA12" s="4">
        <f t="shared" si="2"/>
        <v>1.1160488582049919</v>
      </c>
      <c r="AB12" s="48"/>
      <c r="AC12" s="48"/>
    </row>
    <row r="13" spans="1:32" hidden="1" x14ac:dyDescent="0.25">
      <c r="A13" s="49" t="s">
        <v>17</v>
      </c>
      <c r="B13" s="50">
        <v>225</v>
      </c>
      <c r="C13" s="51" t="s">
        <v>10</v>
      </c>
      <c r="D13" s="52" t="s">
        <v>11</v>
      </c>
      <c r="E13" s="77">
        <v>1171</v>
      </c>
      <c r="F13" s="120">
        <v>264</v>
      </c>
      <c r="G13" s="120">
        <v>114.35</v>
      </c>
      <c r="H13" s="121">
        <v>0</v>
      </c>
      <c r="I13" s="121">
        <v>90</v>
      </c>
      <c r="J13" s="122">
        <v>484</v>
      </c>
      <c r="K13" s="122">
        <v>720</v>
      </c>
      <c r="L13" s="123">
        <v>0</v>
      </c>
      <c r="M13" s="123">
        <v>0</v>
      </c>
      <c r="N13" s="124">
        <v>0</v>
      </c>
      <c r="O13" s="124">
        <v>584</v>
      </c>
      <c r="P13" s="125">
        <v>1272</v>
      </c>
      <c r="Q13" s="125">
        <v>1360</v>
      </c>
      <c r="R13" s="126">
        <v>822</v>
      </c>
      <c r="S13" s="126">
        <v>0</v>
      </c>
      <c r="T13" s="166"/>
      <c r="U13" s="166">
        <v>609</v>
      </c>
      <c r="V13" s="54">
        <f t="shared" si="3"/>
        <v>2842</v>
      </c>
      <c r="W13" s="53">
        <f t="shared" si="4"/>
        <v>3327982</v>
      </c>
      <c r="X13" s="54">
        <f t="shared" si="0"/>
        <v>2868.35</v>
      </c>
      <c r="Y13" s="53">
        <f t="shared" si="4"/>
        <v>3358837.85</v>
      </c>
      <c r="Z13" s="137">
        <f t="shared" si="1"/>
        <v>30855.850000000093</v>
      </c>
      <c r="AA13" s="4">
        <f t="shared" si="2"/>
        <v>9.2716396903589297E-3</v>
      </c>
      <c r="AB13" s="48"/>
    </row>
    <row r="14" spans="1:32" hidden="1" x14ac:dyDescent="0.25">
      <c r="A14" s="49" t="s">
        <v>18</v>
      </c>
      <c r="B14" s="50">
        <v>250</v>
      </c>
      <c r="C14" s="51" t="s">
        <v>10</v>
      </c>
      <c r="D14" s="52" t="s">
        <v>11</v>
      </c>
      <c r="E14" s="77">
        <v>1411.8</v>
      </c>
      <c r="F14" s="120">
        <v>175</v>
      </c>
      <c r="G14" s="120">
        <v>133.37</v>
      </c>
      <c r="H14" s="121">
        <v>0</v>
      </c>
      <c r="I14" s="121">
        <v>472</v>
      </c>
      <c r="J14" s="122">
        <v>127</v>
      </c>
      <c r="K14" s="122">
        <v>478</v>
      </c>
      <c r="L14" s="123">
        <v>219</v>
      </c>
      <c r="M14" s="123">
        <v>211</v>
      </c>
      <c r="N14" s="124">
        <v>0</v>
      </c>
      <c r="O14" s="124">
        <v>236</v>
      </c>
      <c r="P14" s="125">
        <v>860</v>
      </c>
      <c r="Q14" s="125">
        <v>635</v>
      </c>
      <c r="R14" s="126">
        <v>144</v>
      </c>
      <c r="S14" s="126">
        <v>299</v>
      </c>
      <c r="T14" s="166"/>
      <c r="U14" s="166"/>
      <c r="V14" s="54">
        <f t="shared" si="3"/>
        <v>1525</v>
      </c>
      <c r="W14" s="53">
        <f t="shared" si="4"/>
        <v>2152995</v>
      </c>
      <c r="X14" s="54">
        <f t="shared" si="0"/>
        <v>2464.37</v>
      </c>
      <c r="Y14" s="53">
        <f t="shared" si="4"/>
        <v>3479197.5659999996</v>
      </c>
      <c r="Z14" s="137">
        <f t="shared" si="1"/>
        <v>1326202.5659999996</v>
      </c>
      <c r="AA14" s="4">
        <f t="shared" si="2"/>
        <v>0.61598032786885226</v>
      </c>
    </row>
    <row r="15" spans="1:32" hidden="1" x14ac:dyDescent="0.25">
      <c r="A15" s="49" t="s">
        <v>19</v>
      </c>
      <c r="B15" s="50">
        <v>280</v>
      </c>
      <c r="C15" s="51" t="s">
        <v>10</v>
      </c>
      <c r="D15" s="52" t="s">
        <v>11</v>
      </c>
      <c r="E15" s="77">
        <v>1762.25</v>
      </c>
      <c r="F15" s="120">
        <v>232</v>
      </c>
      <c r="G15" s="120">
        <v>1008.39</v>
      </c>
      <c r="H15" s="121">
        <v>313</v>
      </c>
      <c r="I15" s="121">
        <v>0</v>
      </c>
      <c r="J15" s="122">
        <v>439</v>
      </c>
      <c r="K15" s="122">
        <v>388</v>
      </c>
      <c r="L15" s="123">
        <v>140</v>
      </c>
      <c r="M15" s="123">
        <v>232</v>
      </c>
      <c r="N15" s="124">
        <v>235</v>
      </c>
      <c r="O15" s="124">
        <v>0</v>
      </c>
      <c r="P15" s="125">
        <v>1040</v>
      </c>
      <c r="Q15" s="125">
        <v>744</v>
      </c>
      <c r="R15" s="126">
        <v>0</v>
      </c>
      <c r="S15" s="126">
        <v>237</v>
      </c>
      <c r="T15" s="166"/>
      <c r="U15" s="166">
        <v>371</v>
      </c>
      <c r="V15" s="54">
        <f t="shared" si="3"/>
        <v>2399</v>
      </c>
      <c r="W15" s="53">
        <f t="shared" si="4"/>
        <v>4227637.75</v>
      </c>
      <c r="X15" s="54">
        <f t="shared" si="0"/>
        <v>2609.39</v>
      </c>
      <c r="Y15" s="53">
        <f t="shared" si="4"/>
        <v>4598397.5274999999</v>
      </c>
      <c r="Z15" s="137">
        <f t="shared" si="1"/>
        <v>370759.77749999985</v>
      </c>
      <c r="AA15" s="4">
        <f t="shared" si="2"/>
        <v>8.7699041267194633E-2</v>
      </c>
    </row>
    <row r="16" spans="1:32" hidden="1" x14ac:dyDescent="0.25">
      <c r="A16" s="49" t="s">
        <v>20</v>
      </c>
      <c r="B16" s="50">
        <v>315</v>
      </c>
      <c r="C16" s="51" t="s">
        <v>10</v>
      </c>
      <c r="D16" s="52" t="s">
        <v>11</v>
      </c>
      <c r="E16" s="77">
        <v>2218.75</v>
      </c>
      <c r="F16" s="120">
        <v>0</v>
      </c>
      <c r="G16" s="120">
        <v>0</v>
      </c>
      <c r="H16" s="121">
        <v>0</v>
      </c>
      <c r="I16" s="121">
        <v>268</v>
      </c>
      <c r="J16" s="122">
        <v>348</v>
      </c>
      <c r="K16" s="122">
        <v>169</v>
      </c>
      <c r="L16" s="123">
        <v>609</v>
      </c>
      <c r="M16" s="123">
        <v>168</v>
      </c>
      <c r="N16" s="124">
        <v>0</v>
      </c>
      <c r="O16" s="124">
        <v>184</v>
      </c>
      <c r="P16" s="125">
        <v>1429</v>
      </c>
      <c r="Q16" s="125">
        <v>1640</v>
      </c>
      <c r="R16" s="126">
        <v>123</v>
      </c>
      <c r="S16" s="126">
        <v>0</v>
      </c>
      <c r="T16" s="166"/>
      <c r="U16" s="166">
        <v>19</v>
      </c>
      <c r="V16" s="54">
        <f t="shared" si="3"/>
        <v>2509</v>
      </c>
      <c r="W16" s="53">
        <f t="shared" si="4"/>
        <v>5566843.75</v>
      </c>
      <c r="X16" s="54">
        <f t="shared" si="0"/>
        <v>2429</v>
      </c>
      <c r="Y16" s="53">
        <f t="shared" si="4"/>
        <v>5389343.75</v>
      </c>
      <c r="Z16" s="137">
        <f t="shared" si="1"/>
        <v>-177500</v>
      </c>
      <c r="AA16" s="4">
        <f t="shared" si="2"/>
        <v>-3.1885213232363492E-2</v>
      </c>
      <c r="AB16" s="48"/>
      <c r="AF16" s="48"/>
    </row>
    <row r="17" spans="1:32" hidden="1" x14ac:dyDescent="0.25">
      <c r="A17" s="49" t="s">
        <v>21</v>
      </c>
      <c r="B17" s="50">
        <v>355</v>
      </c>
      <c r="C17" s="51" t="s">
        <v>10</v>
      </c>
      <c r="D17" s="52" t="s">
        <v>11</v>
      </c>
      <c r="E17" s="78">
        <v>2779.4</v>
      </c>
      <c r="F17" s="120">
        <v>380</v>
      </c>
      <c r="G17" s="120">
        <v>225.7</v>
      </c>
      <c r="H17" s="121">
        <v>0</v>
      </c>
      <c r="I17" s="121">
        <v>40</v>
      </c>
      <c r="J17" s="122">
        <v>557</v>
      </c>
      <c r="K17" s="122">
        <v>133</v>
      </c>
      <c r="L17" s="123">
        <v>875</v>
      </c>
      <c r="M17" s="123">
        <v>282</v>
      </c>
      <c r="N17" s="124">
        <v>139</v>
      </c>
      <c r="O17" s="124">
        <v>383</v>
      </c>
      <c r="P17" s="125">
        <v>244</v>
      </c>
      <c r="Q17" s="125">
        <v>2215</v>
      </c>
      <c r="R17" s="126">
        <v>0</v>
      </c>
      <c r="S17" s="126">
        <v>0</v>
      </c>
      <c r="T17" s="166"/>
      <c r="U17" s="166"/>
      <c r="V17" s="54">
        <f t="shared" si="3"/>
        <v>2195</v>
      </c>
      <c r="W17" s="53">
        <f t="shared" si="4"/>
        <v>6100783</v>
      </c>
      <c r="X17" s="54">
        <f t="shared" si="0"/>
        <v>3278.7</v>
      </c>
      <c r="Y17" s="53">
        <f t="shared" si="4"/>
        <v>9112818.7799999993</v>
      </c>
      <c r="Z17" s="137">
        <f t="shared" si="1"/>
        <v>3012035.7799999993</v>
      </c>
      <c r="AA17" s="4">
        <f t="shared" si="2"/>
        <v>0.49371298405466957</v>
      </c>
      <c r="AB17" s="48"/>
      <c r="AD17" s="48"/>
      <c r="AE17" s="48"/>
    </row>
    <row r="18" spans="1:32" hidden="1" x14ac:dyDescent="0.25">
      <c r="A18" s="49" t="s">
        <v>22</v>
      </c>
      <c r="B18" s="50">
        <v>400</v>
      </c>
      <c r="C18" s="51" t="s">
        <v>10</v>
      </c>
      <c r="D18" s="52" t="s">
        <v>11</v>
      </c>
      <c r="E18" s="77">
        <v>3463.05</v>
      </c>
      <c r="F18" s="120">
        <v>0</v>
      </c>
      <c r="G18" s="120">
        <v>0</v>
      </c>
      <c r="H18" s="121">
        <v>0</v>
      </c>
      <c r="I18" s="121">
        <v>0</v>
      </c>
      <c r="J18" s="122">
        <v>905</v>
      </c>
      <c r="K18" s="122">
        <v>928</v>
      </c>
      <c r="L18" s="123">
        <v>0</v>
      </c>
      <c r="M18" s="123">
        <v>843</v>
      </c>
      <c r="N18" s="124">
        <v>127</v>
      </c>
      <c r="O18" s="124">
        <v>207</v>
      </c>
      <c r="P18" s="125">
        <v>550</v>
      </c>
      <c r="Q18" s="125">
        <v>923</v>
      </c>
      <c r="R18" s="126">
        <v>476</v>
      </c>
      <c r="S18" s="126">
        <v>0</v>
      </c>
      <c r="T18" s="166"/>
      <c r="U18" s="166"/>
      <c r="V18" s="54">
        <f t="shared" si="3"/>
        <v>2058</v>
      </c>
      <c r="W18" s="53">
        <f t="shared" si="4"/>
        <v>7126956.9000000004</v>
      </c>
      <c r="X18" s="54">
        <f t="shared" si="0"/>
        <v>2901</v>
      </c>
      <c r="Y18" s="53">
        <f t="shared" si="4"/>
        <v>10046308.050000001</v>
      </c>
      <c r="Z18" s="137">
        <f t="shared" si="1"/>
        <v>2919351.1500000004</v>
      </c>
      <c r="AA18" s="4">
        <f t="shared" si="2"/>
        <v>0.40962099125364437</v>
      </c>
      <c r="AF18" s="48"/>
    </row>
    <row r="19" spans="1:32" ht="15" hidden="1" customHeight="1" x14ac:dyDescent="0.25">
      <c r="A19" s="49" t="s">
        <v>23</v>
      </c>
      <c r="B19" s="50">
        <v>450</v>
      </c>
      <c r="C19" s="51" t="s">
        <v>10</v>
      </c>
      <c r="D19" s="52" t="s">
        <v>11</v>
      </c>
      <c r="E19" s="77">
        <v>4297.2</v>
      </c>
      <c r="F19" s="120">
        <v>0</v>
      </c>
      <c r="G19" s="120">
        <v>141.94</v>
      </c>
      <c r="H19" s="121">
        <v>0</v>
      </c>
      <c r="I19" s="121">
        <v>0</v>
      </c>
      <c r="J19" s="122">
        <v>0</v>
      </c>
      <c r="K19" s="122">
        <v>165</v>
      </c>
      <c r="L19" s="123">
        <v>0</v>
      </c>
      <c r="M19" s="123">
        <v>0</v>
      </c>
      <c r="N19" s="124">
        <v>329</v>
      </c>
      <c r="O19" s="124">
        <v>0</v>
      </c>
      <c r="P19" s="125">
        <v>1005</v>
      </c>
      <c r="Q19" s="125">
        <v>209</v>
      </c>
      <c r="R19" s="126">
        <v>0</v>
      </c>
      <c r="S19" s="126">
        <v>0</v>
      </c>
      <c r="T19" s="166"/>
      <c r="U19" s="166"/>
      <c r="V19" s="54">
        <f t="shared" si="3"/>
        <v>1334</v>
      </c>
      <c r="W19" s="53">
        <f t="shared" si="4"/>
        <v>5732464.7999999998</v>
      </c>
      <c r="X19" s="54">
        <f t="shared" si="0"/>
        <v>515.94000000000005</v>
      </c>
      <c r="Y19" s="53">
        <f t="shared" si="4"/>
        <v>2217097.3680000002</v>
      </c>
      <c r="Z19" s="137">
        <f t="shared" si="1"/>
        <v>-3515367.4319999996</v>
      </c>
      <c r="AA19" s="4">
        <f t="shared" si="2"/>
        <v>-0.61323838080959514</v>
      </c>
      <c r="AD19" s="48"/>
      <c r="AE19" s="48"/>
    </row>
    <row r="20" spans="1:32" ht="14.25" hidden="1" customHeight="1" x14ac:dyDescent="0.25">
      <c r="A20" s="49" t="s">
        <v>24</v>
      </c>
      <c r="B20" s="50">
        <v>500</v>
      </c>
      <c r="C20" s="51" t="s">
        <v>10</v>
      </c>
      <c r="D20" s="52" t="s">
        <v>11</v>
      </c>
      <c r="E20" s="77">
        <v>5265.45</v>
      </c>
      <c r="F20" s="120">
        <v>935</v>
      </c>
      <c r="G20" s="120">
        <v>517.46</v>
      </c>
      <c r="H20" s="121">
        <v>0</v>
      </c>
      <c r="I20" s="121">
        <v>0</v>
      </c>
      <c r="J20" s="122">
        <v>920</v>
      </c>
      <c r="K20" s="122">
        <v>259</v>
      </c>
      <c r="L20" s="123">
        <v>0</v>
      </c>
      <c r="M20" s="123">
        <v>0</v>
      </c>
      <c r="N20" s="124">
        <v>0</v>
      </c>
      <c r="O20" s="124">
        <v>0</v>
      </c>
      <c r="P20" s="125">
        <v>1527</v>
      </c>
      <c r="Q20" s="125">
        <v>136</v>
      </c>
      <c r="R20" s="126">
        <v>289</v>
      </c>
      <c r="S20" s="126">
        <v>933</v>
      </c>
      <c r="T20" s="166"/>
      <c r="U20" s="166"/>
      <c r="V20" s="54">
        <f t="shared" si="3"/>
        <v>3671</v>
      </c>
      <c r="W20" s="53">
        <f t="shared" si="4"/>
        <v>19329466.949999999</v>
      </c>
      <c r="X20" s="54">
        <f t="shared" si="0"/>
        <v>1845.46</v>
      </c>
      <c r="Y20" s="53">
        <f t="shared" si="4"/>
        <v>9717177.3570000008</v>
      </c>
      <c r="Z20" s="137">
        <f t="shared" si="1"/>
        <v>-9612289.5929999985</v>
      </c>
      <c r="AA20" s="4">
        <f t="shared" si="2"/>
        <v>-0.49728684282211927</v>
      </c>
      <c r="AF20" s="48"/>
    </row>
    <row r="21" spans="1:32" hidden="1" x14ac:dyDescent="0.25">
      <c r="A21" s="49" t="s">
        <v>25</v>
      </c>
      <c r="B21" s="50">
        <v>560</v>
      </c>
      <c r="C21" s="51" t="s">
        <v>10</v>
      </c>
      <c r="D21" s="52" t="s">
        <v>11</v>
      </c>
      <c r="E21" s="77">
        <v>6515.7</v>
      </c>
      <c r="F21" s="120">
        <v>0</v>
      </c>
      <c r="G21" s="120">
        <v>1366.33</v>
      </c>
      <c r="H21" s="121">
        <v>0</v>
      </c>
      <c r="I21" s="121">
        <v>0</v>
      </c>
      <c r="J21" s="122">
        <v>963</v>
      </c>
      <c r="K21" s="122">
        <v>920</v>
      </c>
      <c r="L21" s="123">
        <v>0</v>
      </c>
      <c r="M21" s="123">
        <v>0</v>
      </c>
      <c r="N21" s="124">
        <v>0</v>
      </c>
      <c r="O21" s="124">
        <v>66</v>
      </c>
      <c r="P21" s="125">
        <v>0</v>
      </c>
      <c r="Q21" s="125">
        <v>243</v>
      </c>
      <c r="R21" s="126">
        <v>970</v>
      </c>
      <c r="S21" s="126">
        <v>174</v>
      </c>
      <c r="T21" s="166"/>
      <c r="U21" s="166"/>
      <c r="V21" s="54">
        <f t="shared" si="3"/>
        <v>1933</v>
      </c>
      <c r="W21" s="53">
        <f t="shared" si="4"/>
        <v>12594848.1</v>
      </c>
      <c r="X21" s="54">
        <f t="shared" si="0"/>
        <v>2769.33</v>
      </c>
      <c r="Y21" s="53">
        <f t="shared" si="4"/>
        <v>18044123.480999999</v>
      </c>
      <c r="Z21" s="137">
        <f t="shared" si="1"/>
        <v>5449275.3809999991</v>
      </c>
      <c r="AA21" s="4">
        <f t="shared" si="2"/>
        <v>0.43265907915157781</v>
      </c>
      <c r="AC21" s="48"/>
    </row>
    <row r="22" spans="1:32" hidden="1" x14ac:dyDescent="0.25">
      <c r="A22" s="49" t="s">
        <v>26</v>
      </c>
      <c r="B22" s="50">
        <v>630</v>
      </c>
      <c r="C22" s="51" t="s">
        <v>10</v>
      </c>
      <c r="D22" s="52" t="s">
        <v>11</v>
      </c>
      <c r="E22" s="77">
        <v>8256.0499999999993</v>
      </c>
      <c r="F22" s="120">
        <v>438</v>
      </c>
      <c r="G22" s="120">
        <v>106.42</v>
      </c>
      <c r="H22" s="121">
        <v>0</v>
      </c>
      <c r="I22" s="121">
        <v>0</v>
      </c>
      <c r="J22" s="122">
        <v>1173</v>
      </c>
      <c r="K22" s="122">
        <v>1138</v>
      </c>
      <c r="L22" s="123">
        <v>0</v>
      </c>
      <c r="M22" s="123">
        <v>0</v>
      </c>
      <c r="N22" s="124">
        <v>1531</v>
      </c>
      <c r="O22" s="124">
        <v>681</v>
      </c>
      <c r="P22" s="125">
        <v>0</v>
      </c>
      <c r="Q22" s="125">
        <v>516</v>
      </c>
      <c r="R22" s="126">
        <v>0</v>
      </c>
      <c r="S22" s="126">
        <v>523</v>
      </c>
      <c r="T22" s="166"/>
      <c r="U22" s="166"/>
      <c r="V22" s="54">
        <f t="shared" si="3"/>
        <v>3142</v>
      </c>
      <c r="W22" s="53">
        <f t="shared" si="4"/>
        <v>25940509.099999998</v>
      </c>
      <c r="X22" s="54">
        <f t="shared" si="0"/>
        <v>2964.42</v>
      </c>
      <c r="Y22" s="53">
        <f t="shared" si="4"/>
        <v>24474399.740999997</v>
      </c>
      <c r="Z22" s="137">
        <f t="shared" si="1"/>
        <v>-1466109.3590000011</v>
      </c>
      <c r="AA22" s="4">
        <f t="shared" si="2"/>
        <v>-5.6518141311266756E-2</v>
      </c>
      <c r="AC22" s="48"/>
    </row>
    <row r="23" spans="1:32" hidden="1" x14ac:dyDescent="0.25">
      <c r="A23" s="49" t="s">
        <v>27</v>
      </c>
      <c r="B23" s="50">
        <v>710</v>
      </c>
      <c r="C23" s="51" t="s">
        <v>10</v>
      </c>
      <c r="D23" s="52" t="s">
        <v>11</v>
      </c>
      <c r="E23" s="77">
        <v>10397.35</v>
      </c>
      <c r="F23" s="120">
        <v>0</v>
      </c>
      <c r="G23" s="120">
        <v>0</v>
      </c>
      <c r="H23" s="121">
        <v>0</v>
      </c>
      <c r="I23" s="121">
        <v>0</v>
      </c>
      <c r="J23" s="122">
        <v>1537</v>
      </c>
      <c r="K23" s="122">
        <v>1325</v>
      </c>
      <c r="L23" s="123">
        <v>0</v>
      </c>
      <c r="M23" s="123">
        <v>0</v>
      </c>
      <c r="N23" s="124">
        <v>0</v>
      </c>
      <c r="O23" s="124">
        <v>638</v>
      </c>
      <c r="P23" s="125">
        <v>0</v>
      </c>
      <c r="Q23" s="125">
        <v>522</v>
      </c>
      <c r="R23" s="126">
        <v>615</v>
      </c>
      <c r="S23" s="126">
        <v>182</v>
      </c>
      <c r="T23" s="166"/>
      <c r="U23" s="166"/>
      <c r="V23" s="54">
        <f t="shared" si="3"/>
        <v>2152</v>
      </c>
      <c r="W23" s="53">
        <f t="shared" si="4"/>
        <v>22375097.199999999</v>
      </c>
      <c r="X23" s="54">
        <f t="shared" si="0"/>
        <v>2667</v>
      </c>
      <c r="Y23" s="53">
        <f t="shared" si="4"/>
        <v>27729732.449999999</v>
      </c>
      <c r="Z23" s="137">
        <f t="shared" si="1"/>
        <v>5354635.25</v>
      </c>
      <c r="AA23" s="4">
        <f t="shared" si="2"/>
        <v>0.23931226765799257</v>
      </c>
    </row>
    <row r="24" spans="1:32" hidden="1" x14ac:dyDescent="0.25">
      <c r="A24" s="56" t="s">
        <v>28</v>
      </c>
      <c r="B24" s="57">
        <v>800</v>
      </c>
      <c r="C24" s="58" t="s">
        <v>10</v>
      </c>
      <c r="D24" s="59" t="s">
        <v>11</v>
      </c>
      <c r="E24" s="77">
        <v>12273.5</v>
      </c>
      <c r="F24" s="127">
        <v>0</v>
      </c>
      <c r="G24" s="127">
        <v>0</v>
      </c>
      <c r="H24" s="128">
        <v>0</v>
      </c>
      <c r="I24" s="128">
        <v>0</v>
      </c>
      <c r="J24" s="129">
        <v>523</v>
      </c>
      <c r="K24" s="129">
        <v>1045</v>
      </c>
      <c r="L24" s="130">
        <v>0</v>
      </c>
      <c r="M24" s="130">
        <v>0</v>
      </c>
      <c r="N24" s="131">
        <v>0</v>
      </c>
      <c r="O24" s="131">
        <v>0</v>
      </c>
      <c r="P24" s="132">
        <v>539</v>
      </c>
      <c r="Q24" s="132">
        <v>1160</v>
      </c>
      <c r="R24" s="133">
        <v>0</v>
      </c>
      <c r="S24" s="133">
        <v>0</v>
      </c>
      <c r="T24" s="167"/>
      <c r="U24" s="167"/>
      <c r="V24" s="54">
        <f t="shared" si="3"/>
        <v>1062</v>
      </c>
      <c r="W24" s="53">
        <f t="shared" si="4"/>
        <v>13034457</v>
      </c>
      <c r="X24" s="54">
        <f t="shared" si="0"/>
        <v>2205</v>
      </c>
      <c r="Y24" s="53">
        <f t="shared" si="4"/>
        <v>27063067.5</v>
      </c>
      <c r="Z24" s="137">
        <f t="shared" si="1"/>
        <v>14028610.5</v>
      </c>
      <c r="AA24" s="4">
        <f t="shared" si="2"/>
        <v>1.076271186440678</v>
      </c>
      <c r="AB24" s="48"/>
      <c r="AC24" s="48"/>
    </row>
    <row r="25" spans="1:32" hidden="1" x14ac:dyDescent="0.25">
      <c r="A25" s="305" t="s">
        <v>78</v>
      </c>
      <c r="B25" s="306"/>
      <c r="C25" s="307"/>
      <c r="D25" s="33"/>
      <c r="E25" s="33"/>
      <c r="F25" s="60">
        <f t="shared" ref="F25:Q25" si="5">SUM(F7:F24)</f>
        <v>7720</v>
      </c>
      <c r="G25" s="60">
        <f t="shared" si="5"/>
        <v>6315.82</v>
      </c>
      <c r="H25" s="61">
        <f t="shared" si="5"/>
        <v>2142</v>
      </c>
      <c r="I25" s="61">
        <f t="shared" si="5"/>
        <v>2441</v>
      </c>
      <c r="J25" s="62">
        <f t="shared" si="5"/>
        <v>16927</v>
      </c>
      <c r="K25" s="62">
        <f t="shared" si="5"/>
        <v>17855</v>
      </c>
      <c r="L25" s="63">
        <f t="shared" si="5"/>
        <v>3468</v>
      </c>
      <c r="M25" s="63">
        <f t="shared" si="5"/>
        <v>3417</v>
      </c>
      <c r="N25" s="64">
        <f t="shared" si="5"/>
        <v>7147</v>
      </c>
      <c r="O25" s="64">
        <f t="shared" si="5"/>
        <v>7688</v>
      </c>
      <c r="P25" s="65">
        <f t="shared" si="5"/>
        <v>16834</v>
      </c>
      <c r="Q25" s="65">
        <f t="shared" si="5"/>
        <v>20952</v>
      </c>
      <c r="R25" s="66">
        <f t="shared" ref="R25:Y25" si="6">SUM(R7:R24)</f>
        <v>5627</v>
      </c>
      <c r="S25" s="66">
        <f t="shared" si="6"/>
        <v>5702</v>
      </c>
      <c r="T25" s="66">
        <f t="shared" si="6"/>
        <v>0</v>
      </c>
      <c r="U25" s="66">
        <f t="shared" si="6"/>
        <v>1418</v>
      </c>
      <c r="V25" s="67">
        <f t="shared" si="6"/>
        <v>59865</v>
      </c>
      <c r="W25" s="53">
        <f t="shared" si="6"/>
        <v>145535107.29999998</v>
      </c>
      <c r="X25" s="54">
        <f t="shared" si="6"/>
        <v>64370.819999999992</v>
      </c>
      <c r="Y25" s="53">
        <f t="shared" si="6"/>
        <v>165616213.36149999</v>
      </c>
      <c r="Z25" s="136">
        <f>Y25-W25</f>
        <v>20081106.061500013</v>
      </c>
      <c r="AA25" s="4">
        <f t="shared" si="2"/>
        <v>0.13798118154477779</v>
      </c>
      <c r="AC25" s="68">
        <f>+X25-V25</f>
        <v>4505.8199999999924</v>
      </c>
      <c r="AD25" s="69">
        <f>+AC25/V25</f>
        <v>7.5266349285893139E-2</v>
      </c>
    </row>
    <row r="26" spans="1:32" ht="21.75" hidden="1" customHeight="1" x14ac:dyDescent="0.25">
      <c r="A26" s="285" t="s">
        <v>68</v>
      </c>
      <c r="B26" s="286"/>
      <c r="C26" s="287"/>
      <c r="D26" s="1"/>
      <c r="E26" s="1"/>
      <c r="F26" s="1"/>
      <c r="G26" s="1"/>
      <c r="H26" s="1"/>
      <c r="I26" s="76"/>
      <c r="J26" s="1"/>
      <c r="K26" s="70"/>
      <c r="L26" s="1"/>
      <c r="M26" s="1"/>
      <c r="N26" s="1"/>
      <c r="O26" s="1"/>
      <c r="P26" s="1"/>
      <c r="Q26" s="1"/>
      <c r="R26" s="1"/>
      <c r="S26" s="1"/>
      <c r="T26" s="2"/>
      <c r="U26" s="2"/>
      <c r="V26" s="2"/>
      <c r="W26" s="135">
        <f>+W25/V25</f>
        <v>2431.0549954063308</v>
      </c>
      <c r="X26" s="3"/>
      <c r="Y26" s="135">
        <f>+Y25/X25</f>
        <v>2572.8461026517916</v>
      </c>
      <c r="AB26" s="48"/>
    </row>
    <row r="27" spans="1:32" hidden="1" x14ac:dyDescent="0.25">
      <c r="A27" s="81" t="s">
        <v>9</v>
      </c>
      <c r="B27" s="82">
        <v>900</v>
      </c>
      <c r="C27" s="31" t="s">
        <v>10</v>
      </c>
      <c r="D27" s="32" t="s">
        <v>11</v>
      </c>
      <c r="E27" s="109">
        <v>14199.65</v>
      </c>
      <c r="F27" s="83">
        <v>0</v>
      </c>
      <c r="G27" s="83"/>
      <c r="H27" s="83">
        <v>0</v>
      </c>
      <c r="I27" s="83"/>
      <c r="J27" s="134">
        <v>716</v>
      </c>
      <c r="K27" s="122">
        <v>516</v>
      </c>
      <c r="L27" s="83">
        <v>0</v>
      </c>
      <c r="M27" s="83"/>
      <c r="N27" s="83">
        <v>0</v>
      </c>
      <c r="O27" s="83"/>
      <c r="P27" s="84">
        <v>843</v>
      </c>
      <c r="Q27" s="85">
        <v>565</v>
      </c>
      <c r="R27" s="83">
        <v>0</v>
      </c>
      <c r="S27" s="83"/>
      <c r="T27" s="189"/>
      <c r="U27" s="168"/>
      <c r="V27" s="54">
        <f t="shared" ref="V27:V90" si="7">R27+P27+N27+L27+J27+H27+F27</f>
        <v>1559</v>
      </c>
      <c r="W27" s="53">
        <f t="shared" ref="W27:Y42" si="8">+V27*$E27</f>
        <v>22137254.349999998</v>
      </c>
      <c r="X27" s="45">
        <f t="shared" ref="X27:X34" si="9">S27+Q27+O27+M27+K27+I27+G27</f>
        <v>1081</v>
      </c>
      <c r="Y27" s="53">
        <f t="shared" si="8"/>
        <v>15349821.65</v>
      </c>
      <c r="Z27" s="136">
        <f>Y27-W27</f>
        <v>-6787432.6999999974</v>
      </c>
      <c r="AA27" s="4">
        <f>+Z27/W27</f>
        <v>-0.30660679923027573</v>
      </c>
    </row>
    <row r="28" spans="1:32" ht="38.25" customHeight="1" x14ac:dyDescent="0.25">
      <c r="A28" s="280" t="s">
        <v>96</v>
      </c>
      <c r="B28" s="280"/>
      <c r="C28" s="280"/>
      <c r="D28" s="190" t="s">
        <v>89</v>
      </c>
      <c r="E28" s="191">
        <v>158.5</v>
      </c>
      <c r="F28" s="192">
        <f>+SUM([1]Wetted!$G$5:$G$6)</f>
        <v>11716.259999999998</v>
      </c>
      <c r="G28" s="193">
        <f>+SUM([2]Wetted!G5:G6)</f>
        <v>11513.82</v>
      </c>
      <c r="H28" s="193">
        <f>+SUM([1]Wetted!$J$5:$J$6)</f>
        <v>2671.12</v>
      </c>
      <c r="I28" s="194">
        <f>+SUM([2]Wetted!$J$5:$J$6)</f>
        <v>3087.3599999999997</v>
      </c>
      <c r="J28" s="193">
        <f>+SUM([1]Wetted!$M$5:$M$6)</f>
        <v>32587.49</v>
      </c>
      <c r="K28" s="193">
        <f>+SUM([2]Wetted!$M$5:$M$6)</f>
        <v>31295.64</v>
      </c>
      <c r="L28" s="195">
        <f>+SUM([1]Wetted!$P$5:$P$6)</f>
        <v>4417.09</v>
      </c>
      <c r="M28" s="195">
        <f>+SUM([2]Wetted!$P$5:$P$6)</f>
        <v>4366.43</v>
      </c>
      <c r="N28" s="196">
        <f>+SUM([1]Wetted!$S$5:$S$6)</f>
        <v>10505.779999999999</v>
      </c>
      <c r="O28" s="196">
        <f>+SUM([2]Wetted!$S$5:$S$6)</f>
        <v>10805.03</v>
      </c>
      <c r="P28" s="197">
        <f>+SUM([1]Wetted!$V$5:$V$6)</f>
        <v>26946.240000000002</v>
      </c>
      <c r="Q28" s="197">
        <f>+SUM([2]Wetted!$V$5:$V$6)</f>
        <v>33610.380000000005</v>
      </c>
      <c r="R28" s="196">
        <f>+SUM([1]Wetted!$Y$5:$Y$6)</f>
        <v>9185.58</v>
      </c>
      <c r="S28" s="196">
        <f>+SUM([2]Wetted!$Y$5:$Y$6)</f>
        <v>7924.08</v>
      </c>
      <c r="T28" s="198"/>
      <c r="U28" s="196"/>
      <c r="V28" s="45">
        <f t="shared" si="7"/>
        <v>98029.56</v>
      </c>
      <c r="W28" s="200">
        <f t="shared" si="8"/>
        <v>15537685.26</v>
      </c>
      <c r="X28" s="199">
        <f t="shared" si="9"/>
        <v>102602.73999999999</v>
      </c>
      <c r="Y28" s="200">
        <f t="shared" si="8"/>
        <v>16262534.289999999</v>
      </c>
      <c r="Z28" s="201">
        <f t="shared" ref="Z28:Z72" si="10">Y28-W28</f>
        <v>724849.02999999933</v>
      </c>
      <c r="AA28" s="202"/>
    </row>
    <row r="29" spans="1:32" x14ac:dyDescent="0.25">
      <c r="A29" s="281" t="s">
        <v>93</v>
      </c>
      <c r="B29" s="281"/>
      <c r="C29" s="281"/>
      <c r="D29" s="108" t="s">
        <v>89</v>
      </c>
      <c r="E29" s="91">
        <v>647.9</v>
      </c>
      <c r="F29" s="46">
        <f>+[1]Wetted!$G$8</f>
        <v>1301.810000000004</v>
      </c>
      <c r="G29" s="114">
        <f>+[2]Wetted!$G$8</f>
        <v>1279.309999999997</v>
      </c>
      <c r="H29" s="115">
        <f>+[1]Wetted!$J$8</f>
        <v>425.82000000000045</v>
      </c>
      <c r="I29" s="115">
        <f>+[2]Wetted!$J$8</f>
        <v>492.19000000000034</v>
      </c>
      <c r="J29" s="116">
        <f>+[1]Wetted!$M$8</f>
        <v>3620.8299999999981</v>
      </c>
      <c r="K29" s="116">
        <f>+[2]Wetted!$M$8</f>
        <v>3477.2900000000072</v>
      </c>
      <c r="L29" s="110">
        <f>+[1]Wetted!$P$8</f>
        <v>490.7900000000003</v>
      </c>
      <c r="M29" s="110">
        <f>+[2]Wetted!$P$8</f>
        <v>485.14999999999986</v>
      </c>
      <c r="N29" s="111">
        <f>+[1]Wetted!$S$8</f>
        <v>1167.3100000000004</v>
      </c>
      <c r="O29" s="111">
        <f>+[2]Wetted!$S$8</f>
        <v>1200.5499999999977</v>
      </c>
      <c r="P29" s="112">
        <f>+[1]Wetted!$V$8</f>
        <v>2994.0299999999997</v>
      </c>
      <c r="Q29" s="112">
        <f>+[2]Wetted!$V$8</f>
        <v>3734.4799999999996</v>
      </c>
      <c r="R29" s="113">
        <f>+[1]Wetted!$Y$8</f>
        <v>1464.3600000000006</v>
      </c>
      <c r="S29" s="113">
        <f>+[2]Wetted!$Y$8</f>
        <v>1263.25</v>
      </c>
      <c r="T29" s="113"/>
      <c r="U29" s="113"/>
      <c r="V29" s="45">
        <f t="shared" si="7"/>
        <v>11464.950000000004</v>
      </c>
      <c r="W29" s="53">
        <f t="shared" si="8"/>
        <v>7428141.1050000023</v>
      </c>
      <c r="X29" s="45">
        <f t="shared" si="9"/>
        <v>11932.220000000003</v>
      </c>
      <c r="Y29" s="53">
        <f t="shared" si="8"/>
        <v>7730885.3380000014</v>
      </c>
      <c r="Z29" s="136">
        <f t="shared" si="10"/>
        <v>302744.23299999908</v>
      </c>
      <c r="AA29" s="46"/>
    </row>
    <row r="30" spans="1:32" x14ac:dyDescent="0.25">
      <c r="A30" s="281" t="s">
        <v>97</v>
      </c>
      <c r="B30" s="281"/>
      <c r="C30" s="281"/>
      <c r="D30" s="108" t="s">
        <v>89</v>
      </c>
      <c r="E30" s="91">
        <v>106</v>
      </c>
      <c r="F30" s="114">
        <f>+SUM([1]Wetted!$G$9:$G$10)</f>
        <v>440.25</v>
      </c>
      <c r="G30" s="114">
        <f>+SUM([2]Wetted!$G$9:$G$10)</f>
        <v>440.25</v>
      </c>
      <c r="H30" s="115">
        <f>+SUM([1]Wetted!$J$9:$J$10)</f>
        <v>173.95</v>
      </c>
      <c r="I30" s="115">
        <f>+SUM([2]Wetted!$J$9:$J$10)</f>
        <v>173.95</v>
      </c>
      <c r="J30" s="116">
        <f>+SUM([1]Wetted!$M$9:$M$10)</f>
        <v>1079.96</v>
      </c>
      <c r="K30" s="116">
        <f>+SUM([2]Wetted!$M$9:$M$10)</f>
        <v>1079.96</v>
      </c>
      <c r="L30" s="110">
        <f>+SUM([1]Wetted!$P$9:$P$10)</f>
        <v>213.11</v>
      </c>
      <c r="M30" s="110">
        <f>+SUM([2]Wetted!$P$9:$P$10)</f>
        <v>213.11</v>
      </c>
      <c r="N30" s="111">
        <f>+SUM([1]Wetted!$S$9:$S$10)</f>
        <v>580.13</v>
      </c>
      <c r="O30" s="111">
        <f>+SUM([2]Wetted!$S$9:$S$10)</f>
        <v>580.13</v>
      </c>
      <c r="P30" s="112">
        <f>+SUM([1]Wetted!$V$9:$V$10)</f>
        <v>1903.3</v>
      </c>
      <c r="Q30" s="112">
        <f>+SUM([2]Wetted!$V$9:$V$10)</f>
        <v>1903.3</v>
      </c>
      <c r="R30" s="113">
        <f>+SUM([1]Wetted!$Y$9:$Y$10)</f>
        <v>383.59999999999997</v>
      </c>
      <c r="S30" s="113">
        <f>+SUM([2]Wetted!$Y$9:$Y$10)</f>
        <v>383.59999999999997</v>
      </c>
      <c r="T30" s="113"/>
      <c r="U30" s="113"/>
      <c r="V30" s="45">
        <f t="shared" si="7"/>
        <v>4774.3</v>
      </c>
      <c r="W30" s="53">
        <f t="shared" si="8"/>
        <v>506075.80000000005</v>
      </c>
      <c r="X30" s="45">
        <f t="shared" si="9"/>
        <v>4774.3</v>
      </c>
      <c r="Y30" s="53">
        <f t="shared" si="8"/>
        <v>506075.80000000005</v>
      </c>
      <c r="Z30" s="136">
        <f t="shared" si="10"/>
        <v>0</v>
      </c>
      <c r="AA30" s="46"/>
    </row>
    <row r="31" spans="1:32" x14ac:dyDescent="0.25">
      <c r="A31" s="281" t="s">
        <v>98</v>
      </c>
      <c r="B31" s="281"/>
      <c r="C31" s="281"/>
      <c r="D31" s="108" t="s">
        <v>89</v>
      </c>
      <c r="E31" s="91">
        <v>242.9</v>
      </c>
      <c r="F31" s="114">
        <f>+[1]Wetted!$G$13</f>
        <v>1232.18</v>
      </c>
      <c r="G31" s="114">
        <f>+SUM([2]Wetted!$G$13:$G$14)</f>
        <v>1162.29</v>
      </c>
      <c r="H31" s="115">
        <f>+[1]Wetted!$J$13</f>
        <v>291.06</v>
      </c>
      <c r="I31" s="115">
        <f>+SUM([2]Wetted!$J$13:$J$14)</f>
        <v>344.91</v>
      </c>
      <c r="J31" s="116">
        <f>+[1]Wetted!$M$13</f>
        <v>3475.72</v>
      </c>
      <c r="K31" s="116">
        <f>+SUM([2]Wetted!$M$13:$M$14)</f>
        <v>3357.1</v>
      </c>
      <c r="L31" s="110">
        <f>+[1]Wetted!$P$13</f>
        <v>548.26</v>
      </c>
      <c r="M31" s="110">
        <f>+SUM([2]Wetted!$P$13:$P$14)</f>
        <v>541.6</v>
      </c>
      <c r="N31" s="111">
        <f>+[1]Wetted!$S$13</f>
        <v>1236.26</v>
      </c>
      <c r="O31" s="111">
        <f>+SUM([2]Wetted!$S$13:$S$14)</f>
        <v>1303.58</v>
      </c>
      <c r="P31" s="112">
        <f>+[1]Wetted!$V$13</f>
        <v>3144.86</v>
      </c>
      <c r="Q31" s="112">
        <f>+SUM([2]Wetted!$V$13:$V$14)</f>
        <v>3898.66</v>
      </c>
      <c r="R31" s="113">
        <f>+[1]Wetted!$Y$13</f>
        <v>1098.31</v>
      </c>
      <c r="S31" s="113">
        <f>+SUM([2]Wetted!$Y$13:$Y$140)</f>
        <v>13766.764000000003</v>
      </c>
      <c r="T31" s="113"/>
      <c r="U31" s="113"/>
      <c r="V31" s="45">
        <f t="shared" si="7"/>
        <v>11026.65</v>
      </c>
      <c r="W31" s="53">
        <f t="shared" si="8"/>
        <v>2678373.2850000001</v>
      </c>
      <c r="X31" s="45">
        <f t="shared" si="9"/>
        <v>24374.903999999999</v>
      </c>
      <c r="Y31" s="53">
        <f t="shared" si="8"/>
        <v>5920664.1815999998</v>
      </c>
      <c r="Z31" s="136">
        <f t="shared" si="10"/>
        <v>3242290.8965999996</v>
      </c>
      <c r="AA31" s="46"/>
    </row>
    <row r="32" spans="1:32" x14ac:dyDescent="0.25">
      <c r="A32" s="281" t="s">
        <v>99</v>
      </c>
      <c r="B32" s="281"/>
      <c r="C32" s="281"/>
      <c r="D32" s="108" t="s">
        <v>89</v>
      </c>
      <c r="E32" s="91">
        <v>47.3</v>
      </c>
      <c r="F32" s="114">
        <f>+[1]Wetted!$G16</f>
        <v>7454.7312224999978</v>
      </c>
      <c r="G32" s="114">
        <f>+[2]Wetted!$G16</f>
        <v>7315.9051876250014</v>
      </c>
      <c r="H32" s="115">
        <f>+[1]Wetted!$J16</f>
        <v>1751.3999999999999</v>
      </c>
      <c r="I32" s="115">
        <f>+[2]Wetted!$J16</f>
        <v>2011.4700000000003</v>
      </c>
      <c r="J32" s="116">
        <f>+[1]Wetted!$M16</f>
        <v>19744.876552124999</v>
      </c>
      <c r="K32" s="116">
        <f>+[2]Wetted!$M16</f>
        <v>19011.946098375003</v>
      </c>
      <c r="L32" s="110">
        <f>+[1]Wetted!$P16</f>
        <v>2633.8249139999998</v>
      </c>
      <c r="M32" s="110">
        <f>+[2]Wetted!$P16</f>
        <v>2603.2669680000008</v>
      </c>
      <c r="N32" s="111">
        <f>+[1]Wetted!$S16</f>
        <v>6273.5360066249996</v>
      </c>
      <c r="O32" s="111">
        <f>+[2]Wetted!$S16</f>
        <v>6488.7398778750003</v>
      </c>
      <c r="P32" s="112">
        <f>+[1]Wetted!$V16</f>
        <v>16362.96</v>
      </c>
      <c r="Q32" s="112">
        <f>+[2]Wetted!$V16</f>
        <v>20244.75</v>
      </c>
      <c r="R32" s="113">
        <f>+[1]Wetted!$Y16</f>
        <v>5680.3031291250009</v>
      </c>
      <c r="S32" s="113">
        <f>+[2]Wetted!$Y16</f>
        <v>4931.7524795000008</v>
      </c>
      <c r="T32" s="113"/>
      <c r="U32" s="113"/>
      <c r="V32" s="45">
        <f t="shared" si="7"/>
        <v>59901.631824374999</v>
      </c>
      <c r="W32" s="53">
        <f t="shared" si="8"/>
        <v>2833347.1852929373</v>
      </c>
      <c r="X32" s="45">
        <f t="shared" si="9"/>
        <v>62607.830611375008</v>
      </c>
      <c r="Y32" s="53">
        <f t="shared" si="8"/>
        <v>2961350.3879180378</v>
      </c>
      <c r="Z32" s="136">
        <f t="shared" si="10"/>
        <v>128003.2026251005</v>
      </c>
      <c r="AA32" s="46"/>
    </row>
    <row r="33" spans="1:27" ht="13.5" customHeight="1" x14ac:dyDescent="0.25">
      <c r="A33" s="281" t="s">
        <v>90</v>
      </c>
      <c r="B33" s="281"/>
      <c r="C33" s="281"/>
      <c r="D33" s="108" t="s">
        <v>89</v>
      </c>
      <c r="E33" s="91">
        <v>1973</v>
      </c>
      <c r="F33" s="114">
        <f>+[1]Wetted!$G17</f>
        <v>39.94</v>
      </c>
      <c r="G33" s="114">
        <f>+[2]Wetted!$G17</f>
        <v>39.94</v>
      </c>
      <c r="H33" s="115">
        <f>+[1]Wetted!$J17</f>
        <v>20.7</v>
      </c>
      <c r="I33" s="115">
        <f>+[2]Wetted!$J17</f>
        <v>20.7</v>
      </c>
      <c r="J33" s="116">
        <f>+[1]Wetted!$M17</f>
        <v>98.02</v>
      </c>
      <c r="K33" s="116">
        <f>+[2]Wetted!$M17</f>
        <v>98.02</v>
      </c>
      <c r="L33" s="110">
        <f>+[1]Wetted!$P17</f>
        <v>24.740000000000002</v>
      </c>
      <c r="M33" s="110">
        <f>+[2]Wetted!$P17</f>
        <v>24.740000000000002</v>
      </c>
      <c r="N33" s="111">
        <f>+[1]Wetted!$S17</f>
        <v>58.62</v>
      </c>
      <c r="O33" s="111">
        <f>+[2]Wetted!$S17</f>
        <v>58.62</v>
      </c>
      <c r="P33" s="112">
        <f>+[1]Wetted!$V17</f>
        <v>171.45999999999998</v>
      </c>
      <c r="Q33" s="112">
        <f>+[2]Wetted!$V17</f>
        <v>171.45999999999998</v>
      </c>
      <c r="R33" s="113">
        <f>+[1]Wetted!$Y17</f>
        <v>41.58</v>
      </c>
      <c r="S33" s="113">
        <f>+[2]Wetted!$Y17</f>
        <v>41.58</v>
      </c>
      <c r="T33" s="113"/>
      <c r="U33" s="113"/>
      <c r="V33" s="45">
        <f t="shared" si="7"/>
        <v>455.05999999999995</v>
      </c>
      <c r="W33" s="53">
        <f t="shared" si="8"/>
        <v>897833.37999999989</v>
      </c>
      <c r="X33" s="45">
        <f t="shared" si="9"/>
        <v>455.05999999999995</v>
      </c>
      <c r="Y33" s="53">
        <f t="shared" si="8"/>
        <v>897833.37999999989</v>
      </c>
      <c r="Z33" s="136">
        <f t="shared" si="10"/>
        <v>0</v>
      </c>
      <c r="AA33" s="46"/>
    </row>
    <row r="34" spans="1:27" ht="13.5" customHeight="1" x14ac:dyDescent="0.25">
      <c r="A34" s="281" t="s">
        <v>91</v>
      </c>
      <c r="B34" s="281"/>
      <c r="C34" s="281"/>
      <c r="D34" s="108" t="s">
        <v>89</v>
      </c>
      <c r="E34" s="91">
        <v>1276.25</v>
      </c>
      <c r="F34" s="114">
        <f>+[1]Wetted!$G18</f>
        <v>364.4</v>
      </c>
      <c r="G34" s="114">
        <f>+[2]Wetted!$G18</f>
        <v>343.14000000000016</v>
      </c>
      <c r="H34" s="115">
        <f>+[1]Wetted!$J18</f>
        <v>98.509999999999991</v>
      </c>
      <c r="I34" s="115">
        <f>+[2]Wetted!$J18</f>
        <v>111.98000000000008</v>
      </c>
      <c r="J34" s="116">
        <f>+[1]Wetted!$M18</f>
        <v>1004.2000000000007</v>
      </c>
      <c r="K34" s="116">
        <f>+[2]Wetted!$M18</f>
        <v>974.54</v>
      </c>
      <c r="L34" s="110">
        <f>+[1]Wetted!$P18</f>
        <v>168.75000000000006</v>
      </c>
      <c r="M34" s="110">
        <f>+[2]Wetted!$P18</f>
        <v>167.07999999999998</v>
      </c>
      <c r="N34" s="111">
        <f>+[1]Wetted!$S18</f>
        <v>382.83999999999992</v>
      </c>
      <c r="O34" s="111">
        <f>+[2]Wetted!$S18</f>
        <v>400.93000000000006</v>
      </c>
      <c r="P34" s="112">
        <f>+[1]Wetted!$V18</f>
        <v>994.92000000000053</v>
      </c>
      <c r="Q34" s="112">
        <f>+[2]Wetted!$V18</f>
        <v>1192.22</v>
      </c>
      <c r="R34" s="113">
        <f>+[1]Wetted!$Y18</f>
        <v>327.51999999999992</v>
      </c>
      <c r="S34" s="113">
        <f>+[2]Wetted!$Y18</f>
        <v>298.86000000000007</v>
      </c>
      <c r="T34" s="113"/>
      <c r="U34" s="113"/>
      <c r="V34" s="45">
        <f t="shared" si="7"/>
        <v>3341.1400000000017</v>
      </c>
      <c r="W34" s="53">
        <f t="shared" si="8"/>
        <v>4264129.9250000026</v>
      </c>
      <c r="X34" s="45">
        <f t="shared" si="9"/>
        <v>3488.7500000000005</v>
      </c>
      <c r="Y34" s="53">
        <f t="shared" si="8"/>
        <v>4452517.1875000009</v>
      </c>
      <c r="Z34" s="136">
        <f t="shared" si="10"/>
        <v>188387.26249999832</v>
      </c>
      <c r="AA34" s="46"/>
    </row>
    <row r="35" spans="1:27" x14ac:dyDescent="0.25">
      <c r="A35" s="310"/>
      <c r="B35" s="311"/>
      <c r="C35" s="312"/>
      <c r="D35" s="34"/>
      <c r="E35" s="91"/>
      <c r="F35" s="114"/>
      <c r="G35" s="114"/>
      <c r="H35" s="115"/>
      <c r="I35" s="115"/>
      <c r="J35" s="116"/>
      <c r="K35" s="116"/>
      <c r="L35" s="110"/>
      <c r="M35" s="110"/>
      <c r="N35" s="111"/>
      <c r="O35" s="111"/>
      <c r="P35" s="112"/>
      <c r="Q35" s="112"/>
      <c r="R35" s="113"/>
      <c r="S35" s="113"/>
      <c r="T35" s="113"/>
      <c r="U35" s="113"/>
      <c r="V35" s="45">
        <f t="shared" si="7"/>
        <v>0</v>
      </c>
      <c r="W35" s="53">
        <f t="shared" si="8"/>
        <v>0</v>
      </c>
      <c r="X35" s="45">
        <f t="shared" ref="X35:X66" si="11">S35+Q35+O35+M35+K35+I35+G35</f>
        <v>0</v>
      </c>
      <c r="Y35" s="53">
        <f t="shared" si="8"/>
        <v>0</v>
      </c>
      <c r="Z35" s="136">
        <f t="shared" si="10"/>
        <v>0</v>
      </c>
      <c r="AA35" s="46"/>
    </row>
    <row r="36" spans="1:27" x14ac:dyDescent="0.25">
      <c r="A36" s="281" t="s">
        <v>92</v>
      </c>
      <c r="B36" s="281"/>
      <c r="C36" s="281"/>
      <c r="D36" s="34"/>
      <c r="E36" s="91"/>
      <c r="F36" s="114"/>
      <c r="G36" s="114"/>
      <c r="H36" s="115"/>
      <c r="I36" s="115"/>
      <c r="J36" s="116"/>
      <c r="K36" s="116"/>
      <c r="L36" s="110"/>
      <c r="M36" s="110"/>
      <c r="N36" s="111"/>
      <c r="O36" s="111"/>
      <c r="P36" s="112"/>
      <c r="Q36" s="112"/>
      <c r="R36" s="113"/>
      <c r="S36" s="113"/>
      <c r="T36" s="113"/>
      <c r="U36" s="113"/>
      <c r="V36" s="45">
        <f t="shared" si="7"/>
        <v>0</v>
      </c>
      <c r="W36" s="53">
        <f t="shared" si="8"/>
        <v>0</v>
      </c>
      <c r="X36" s="45">
        <f t="shared" si="11"/>
        <v>0</v>
      </c>
      <c r="Y36" s="53">
        <f t="shared" si="8"/>
        <v>0</v>
      </c>
      <c r="Z36" s="136">
        <f t="shared" si="10"/>
        <v>0</v>
      </c>
      <c r="AA36" s="46"/>
    </row>
    <row r="37" spans="1:27" x14ac:dyDescent="0.25">
      <c r="A37" s="95"/>
      <c r="B37" s="96">
        <v>110</v>
      </c>
      <c r="C37" s="97" t="s">
        <v>100</v>
      </c>
      <c r="D37" s="34" t="s">
        <v>11</v>
      </c>
      <c r="E37" s="77">
        <v>329.2</v>
      </c>
      <c r="F37" s="102">
        <f>+F7</f>
        <v>884</v>
      </c>
      <c r="G37" s="102">
        <f t="shared" ref="G37:S37" si="12">+G7</f>
        <v>0</v>
      </c>
      <c r="H37" s="102">
        <f t="shared" si="12"/>
        <v>0</v>
      </c>
      <c r="I37" s="102">
        <f t="shared" si="12"/>
        <v>0</v>
      </c>
      <c r="J37" s="102">
        <f t="shared" si="12"/>
        <v>208</v>
      </c>
      <c r="K37" s="102">
        <f t="shared" si="12"/>
        <v>0</v>
      </c>
      <c r="L37" s="102">
        <f t="shared" si="12"/>
        <v>0</v>
      </c>
      <c r="M37" s="102">
        <f t="shared" si="12"/>
        <v>0</v>
      </c>
      <c r="N37" s="102">
        <f t="shared" si="12"/>
        <v>0</v>
      </c>
      <c r="O37" s="102">
        <f t="shared" si="12"/>
        <v>0</v>
      </c>
      <c r="P37" s="102">
        <f t="shared" si="12"/>
        <v>0</v>
      </c>
      <c r="Q37" s="102">
        <f t="shared" si="12"/>
        <v>0</v>
      </c>
      <c r="R37" s="102">
        <f t="shared" si="12"/>
        <v>0</v>
      </c>
      <c r="S37" s="102">
        <f t="shared" si="12"/>
        <v>0</v>
      </c>
      <c r="T37" s="169"/>
      <c r="U37" s="169"/>
      <c r="V37" s="45">
        <f t="shared" si="7"/>
        <v>1092</v>
      </c>
      <c r="W37" s="53">
        <f t="shared" si="8"/>
        <v>359486.39999999997</v>
      </c>
      <c r="X37" s="45">
        <f t="shared" si="11"/>
        <v>0</v>
      </c>
      <c r="Y37" s="53">
        <f t="shared" si="8"/>
        <v>0</v>
      </c>
      <c r="Z37" s="136">
        <f t="shared" si="10"/>
        <v>-359486.39999999997</v>
      </c>
      <c r="AA37" s="46"/>
    </row>
    <row r="38" spans="1:27" x14ac:dyDescent="0.25">
      <c r="A38" s="95"/>
      <c r="B38" s="96">
        <v>125</v>
      </c>
      <c r="C38" s="97" t="s">
        <v>100</v>
      </c>
      <c r="D38" s="34" t="s">
        <v>11</v>
      </c>
      <c r="E38" s="77">
        <v>394.9</v>
      </c>
      <c r="F38" s="102">
        <f t="shared" ref="F38:S54" si="13">+F8</f>
        <v>1542</v>
      </c>
      <c r="G38" s="102">
        <f t="shared" si="13"/>
        <v>0</v>
      </c>
      <c r="H38" s="102">
        <f t="shared" si="13"/>
        <v>0</v>
      </c>
      <c r="I38" s="102">
        <f t="shared" si="13"/>
        <v>0</v>
      </c>
      <c r="J38" s="102">
        <f t="shared" si="13"/>
        <v>2239</v>
      </c>
      <c r="K38" s="102">
        <f t="shared" si="13"/>
        <v>0</v>
      </c>
      <c r="L38" s="102">
        <f t="shared" si="13"/>
        <v>856</v>
      </c>
      <c r="M38" s="102">
        <f t="shared" si="13"/>
        <v>0</v>
      </c>
      <c r="N38" s="102">
        <f t="shared" si="13"/>
        <v>0</v>
      </c>
      <c r="O38" s="102">
        <f t="shared" si="13"/>
        <v>0</v>
      </c>
      <c r="P38" s="102">
        <f t="shared" si="13"/>
        <v>0</v>
      </c>
      <c r="Q38" s="102">
        <f t="shared" si="13"/>
        <v>0</v>
      </c>
      <c r="R38" s="102">
        <f t="shared" si="13"/>
        <v>0</v>
      </c>
      <c r="S38" s="102">
        <f t="shared" si="13"/>
        <v>0</v>
      </c>
      <c r="T38" s="169"/>
      <c r="U38" s="169"/>
      <c r="V38" s="45">
        <f t="shared" si="7"/>
        <v>4637</v>
      </c>
      <c r="W38" s="53">
        <f t="shared" si="8"/>
        <v>1831151.2999999998</v>
      </c>
      <c r="X38" s="45">
        <f t="shared" si="11"/>
        <v>0</v>
      </c>
      <c r="Y38" s="53">
        <f t="shared" si="8"/>
        <v>0</v>
      </c>
      <c r="Z38" s="136">
        <f t="shared" si="10"/>
        <v>-1831151.2999999998</v>
      </c>
      <c r="AA38" s="46"/>
    </row>
    <row r="39" spans="1:27" x14ac:dyDescent="0.25">
      <c r="A39" s="95"/>
      <c r="B39" s="96">
        <v>140</v>
      </c>
      <c r="C39" s="97" t="s">
        <v>100</v>
      </c>
      <c r="D39" s="34" t="s">
        <v>11</v>
      </c>
      <c r="E39" s="77">
        <v>487.35</v>
      </c>
      <c r="F39" s="102">
        <f t="shared" si="13"/>
        <v>327</v>
      </c>
      <c r="G39" s="102">
        <f t="shared" si="13"/>
        <v>1291.3</v>
      </c>
      <c r="H39" s="102">
        <f t="shared" si="13"/>
        <v>476</v>
      </c>
      <c r="I39" s="102">
        <f t="shared" si="13"/>
        <v>1216</v>
      </c>
      <c r="J39" s="102">
        <f t="shared" si="13"/>
        <v>4731</v>
      </c>
      <c r="K39" s="102">
        <f t="shared" si="13"/>
        <v>6810</v>
      </c>
      <c r="L39" s="102">
        <f t="shared" si="13"/>
        <v>447</v>
      </c>
      <c r="M39" s="102">
        <f t="shared" si="13"/>
        <v>1587</v>
      </c>
      <c r="N39" s="102">
        <f t="shared" si="13"/>
        <v>3205</v>
      </c>
      <c r="O39" s="102">
        <f t="shared" si="13"/>
        <v>2527</v>
      </c>
      <c r="P39" s="102">
        <f t="shared" si="13"/>
        <v>6659</v>
      </c>
      <c r="Q39" s="102">
        <f t="shared" si="13"/>
        <v>7194</v>
      </c>
      <c r="R39" s="102">
        <f t="shared" si="13"/>
        <v>586</v>
      </c>
      <c r="S39" s="102">
        <f t="shared" si="13"/>
        <v>1827</v>
      </c>
      <c r="T39" s="169"/>
      <c r="U39" s="169"/>
      <c r="V39" s="45">
        <f t="shared" si="7"/>
        <v>16431</v>
      </c>
      <c r="W39" s="53">
        <f t="shared" si="8"/>
        <v>8007647.8500000006</v>
      </c>
      <c r="X39" s="45">
        <f t="shared" si="11"/>
        <v>22452.3</v>
      </c>
      <c r="Y39" s="53">
        <f t="shared" si="8"/>
        <v>10942128.404999999</v>
      </c>
      <c r="Z39" s="136">
        <f t="shared" si="10"/>
        <v>2934480.5549999988</v>
      </c>
      <c r="AA39" s="46"/>
    </row>
    <row r="40" spans="1:27" x14ac:dyDescent="0.25">
      <c r="A40" s="95"/>
      <c r="B40" s="96">
        <v>160</v>
      </c>
      <c r="C40" s="97" t="s">
        <v>100</v>
      </c>
      <c r="D40" s="34" t="s">
        <v>11</v>
      </c>
      <c r="E40" s="77">
        <v>616.95000000000005</v>
      </c>
      <c r="F40" s="102">
        <f t="shared" si="13"/>
        <v>664</v>
      </c>
      <c r="G40" s="102">
        <f t="shared" si="13"/>
        <v>383.03</v>
      </c>
      <c r="H40" s="102">
        <f t="shared" si="13"/>
        <v>888</v>
      </c>
      <c r="I40" s="102">
        <f t="shared" si="13"/>
        <v>0</v>
      </c>
      <c r="J40" s="102">
        <f t="shared" si="13"/>
        <v>780</v>
      </c>
      <c r="K40" s="102">
        <f t="shared" si="13"/>
        <v>1458</v>
      </c>
      <c r="L40" s="102">
        <f t="shared" si="13"/>
        <v>0</v>
      </c>
      <c r="M40" s="102">
        <f t="shared" si="13"/>
        <v>0</v>
      </c>
      <c r="N40" s="102">
        <f t="shared" si="13"/>
        <v>944</v>
      </c>
      <c r="O40" s="102">
        <f t="shared" si="13"/>
        <v>705</v>
      </c>
      <c r="P40" s="102">
        <f t="shared" si="13"/>
        <v>589</v>
      </c>
      <c r="Q40" s="102">
        <f t="shared" si="13"/>
        <v>919</v>
      </c>
      <c r="R40" s="102">
        <f t="shared" si="13"/>
        <v>1324</v>
      </c>
      <c r="S40" s="102">
        <f t="shared" si="13"/>
        <v>866</v>
      </c>
      <c r="T40" s="169"/>
      <c r="U40" s="169"/>
      <c r="V40" s="45">
        <f t="shared" si="7"/>
        <v>5189</v>
      </c>
      <c r="W40" s="53">
        <f t="shared" si="8"/>
        <v>3201353.5500000003</v>
      </c>
      <c r="X40" s="45">
        <f t="shared" si="11"/>
        <v>4331.03</v>
      </c>
      <c r="Y40" s="53">
        <f t="shared" si="8"/>
        <v>2672028.9585000002</v>
      </c>
      <c r="Z40" s="136">
        <f t="shared" si="10"/>
        <v>-529324.5915000001</v>
      </c>
      <c r="AA40" s="46"/>
    </row>
    <row r="41" spans="1:27" x14ac:dyDescent="0.25">
      <c r="A41" s="95"/>
      <c r="B41" s="96">
        <v>180</v>
      </c>
      <c r="C41" s="97" t="s">
        <v>100</v>
      </c>
      <c r="D41" s="34" t="s">
        <v>11</v>
      </c>
      <c r="E41" s="77">
        <v>757.95</v>
      </c>
      <c r="F41" s="102">
        <f t="shared" si="13"/>
        <v>1043</v>
      </c>
      <c r="G41" s="102">
        <f t="shared" si="13"/>
        <v>610.01</v>
      </c>
      <c r="H41" s="102">
        <f t="shared" si="13"/>
        <v>465</v>
      </c>
      <c r="I41" s="102">
        <f t="shared" si="13"/>
        <v>0</v>
      </c>
      <c r="J41" s="102">
        <f t="shared" si="13"/>
        <v>993</v>
      </c>
      <c r="K41" s="102">
        <f t="shared" si="13"/>
        <v>1336</v>
      </c>
      <c r="L41" s="102">
        <f t="shared" si="13"/>
        <v>322</v>
      </c>
      <c r="M41" s="102">
        <f t="shared" si="13"/>
        <v>0</v>
      </c>
      <c r="N41" s="102">
        <f t="shared" si="13"/>
        <v>350</v>
      </c>
      <c r="O41" s="102">
        <f t="shared" si="13"/>
        <v>227</v>
      </c>
      <c r="P41" s="102">
        <f t="shared" si="13"/>
        <v>529</v>
      </c>
      <c r="Q41" s="102">
        <f t="shared" si="13"/>
        <v>1712</v>
      </c>
      <c r="R41" s="102">
        <f t="shared" si="13"/>
        <v>109</v>
      </c>
      <c r="S41" s="102">
        <f t="shared" si="13"/>
        <v>200</v>
      </c>
      <c r="T41" s="169"/>
      <c r="U41" s="169"/>
      <c r="V41" s="45">
        <f t="shared" si="7"/>
        <v>3811</v>
      </c>
      <c r="W41" s="53">
        <f t="shared" si="8"/>
        <v>2888547.45</v>
      </c>
      <c r="X41" s="45">
        <f t="shared" si="11"/>
        <v>4085.01</v>
      </c>
      <c r="Y41" s="53">
        <f t="shared" si="8"/>
        <v>3096233.3295000005</v>
      </c>
      <c r="Z41" s="136">
        <f t="shared" si="10"/>
        <v>207685.87950000027</v>
      </c>
      <c r="AA41" s="46"/>
    </row>
    <row r="42" spans="1:27" x14ac:dyDescent="0.25">
      <c r="A42" s="95"/>
      <c r="B42" s="96">
        <v>200</v>
      </c>
      <c r="C42" s="97" t="s">
        <v>100</v>
      </c>
      <c r="D42" s="34" t="s">
        <v>11</v>
      </c>
      <c r="E42" s="77">
        <v>922.4</v>
      </c>
      <c r="F42" s="102">
        <f t="shared" si="13"/>
        <v>836</v>
      </c>
      <c r="G42" s="102">
        <f t="shared" si="13"/>
        <v>417.52</v>
      </c>
      <c r="H42" s="102">
        <f t="shared" si="13"/>
        <v>0</v>
      </c>
      <c r="I42" s="102">
        <f t="shared" si="13"/>
        <v>355</v>
      </c>
      <c r="J42" s="102">
        <f t="shared" si="13"/>
        <v>0</v>
      </c>
      <c r="K42" s="102">
        <f t="shared" si="13"/>
        <v>583</v>
      </c>
      <c r="L42" s="102">
        <f t="shared" si="13"/>
        <v>0</v>
      </c>
      <c r="M42" s="102">
        <f t="shared" si="13"/>
        <v>94</v>
      </c>
      <c r="N42" s="102">
        <f t="shared" si="13"/>
        <v>287</v>
      </c>
      <c r="O42" s="102">
        <f t="shared" si="13"/>
        <v>1250</v>
      </c>
      <c r="P42" s="102">
        <f t="shared" si="13"/>
        <v>591</v>
      </c>
      <c r="Q42" s="102">
        <f t="shared" si="13"/>
        <v>824</v>
      </c>
      <c r="R42" s="102">
        <f t="shared" si="13"/>
        <v>169</v>
      </c>
      <c r="S42" s="102">
        <f t="shared" si="13"/>
        <v>461</v>
      </c>
      <c r="T42" s="169"/>
      <c r="U42" s="169"/>
      <c r="V42" s="45">
        <f t="shared" si="7"/>
        <v>1883</v>
      </c>
      <c r="W42" s="53">
        <f t="shared" si="8"/>
        <v>1736879.2</v>
      </c>
      <c r="X42" s="45">
        <f t="shared" si="11"/>
        <v>3984.52</v>
      </c>
      <c r="Y42" s="53">
        <f t="shared" si="8"/>
        <v>3675321.2479999997</v>
      </c>
      <c r="Z42" s="136">
        <f t="shared" si="10"/>
        <v>1938442.0479999997</v>
      </c>
      <c r="AA42" s="46"/>
    </row>
    <row r="43" spans="1:27" x14ac:dyDescent="0.25">
      <c r="A43" s="95"/>
      <c r="B43" s="96">
        <v>225</v>
      </c>
      <c r="C43" s="97" t="s">
        <v>100</v>
      </c>
      <c r="D43" s="34" t="s">
        <v>11</v>
      </c>
      <c r="E43" s="77">
        <v>1171</v>
      </c>
      <c r="F43" s="102">
        <f t="shared" si="13"/>
        <v>264</v>
      </c>
      <c r="G43" s="102">
        <f t="shared" si="13"/>
        <v>114.35</v>
      </c>
      <c r="H43" s="102">
        <f t="shared" si="13"/>
        <v>0</v>
      </c>
      <c r="I43" s="102">
        <f t="shared" si="13"/>
        <v>90</v>
      </c>
      <c r="J43" s="102">
        <f t="shared" si="13"/>
        <v>484</v>
      </c>
      <c r="K43" s="102">
        <f t="shared" si="13"/>
        <v>720</v>
      </c>
      <c r="L43" s="102">
        <f t="shared" si="13"/>
        <v>0</v>
      </c>
      <c r="M43" s="102">
        <f t="shared" si="13"/>
        <v>0</v>
      </c>
      <c r="N43" s="102">
        <f t="shared" si="13"/>
        <v>0</v>
      </c>
      <c r="O43" s="102">
        <f t="shared" si="13"/>
        <v>584</v>
      </c>
      <c r="P43" s="102">
        <f t="shared" si="13"/>
        <v>1272</v>
      </c>
      <c r="Q43" s="102">
        <f t="shared" si="13"/>
        <v>1360</v>
      </c>
      <c r="R43" s="102">
        <f t="shared" si="13"/>
        <v>822</v>
      </c>
      <c r="S43" s="102">
        <f t="shared" si="13"/>
        <v>0</v>
      </c>
      <c r="T43" s="169"/>
      <c r="U43" s="169"/>
      <c r="V43" s="45">
        <f t="shared" si="7"/>
        <v>2842</v>
      </c>
      <c r="W43" s="53">
        <f t="shared" ref="W43:W107" si="14">+V43*$E43</f>
        <v>3327982</v>
      </c>
      <c r="X43" s="45">
        <f t="shared" si="11"/>
        <v>2868.35</v>
      </c>
      <c r="Y43" s="53">
        <f t="shared" ref="Y43:Y107" si="15">+X43*$E43</f>
        <v>3358837.85</v>
      </c>
      <c r="Z43" s="136">
        <f t="shared" si="10"/>
        <v>30855.850000000093</v>
      </c>
      <c r="AA43" s="46"/>
    </row>
    <row r="44" spans="1:27" x14ac:dyDescent="0.25">
      <c r="A44" s="95"/>
      <c r="B44" s="96">
        <v>250</v>
      </c>
      <c r="C44" s="97" t="s">
        <v>100</v>
      </c>
      <c r="D44" s="34" t="s">
        <v>11</v>
      </c>
      <c r="E44" s="77">
        <v>1411.8</v>
      </c>
      <c r="F44" s="102">
        <f t="shared" si="13"/>
        <v>175</v>
      </c>
      <c r="G44" s="102">
        <f t="shared" si="13"/>
        <v>133.37</v>
      </c>
      <c r="H44" s="102">
        <f t="shared" si="13"/>
        <v>0</v>
      </c>
      <c r="I44" s="102">
        <f t="shared" si="13"/>
        <v>472</v>
      </c>
      <c r="J44" s="102">
        <f t="shared" si="13"/>
        <v>127</v>
      </c>
      <c r="K44" s="102">
        <f t="shared" si="13"/>
        <v>478</v>
      </c>
      <c r="L44" s="102">
        <f t="shared" si="13"/>
        <v>219</v>
      </c>
      <c r="M44" s="102">
        <f t="shared" si="13"/>
        <v>211</v>
      </c>
      <c r="N44" s="102">
        <f t="shared" si="13"/>
        <v>0</v>
      </c>
      <c r="O44" s="102">
        <f t="shared" si="13"/>
        <v>236</v>
      </c>
      <c r="P44" s="102">
        <f t="shared" si="13"/>
        <v>860</v>
      </c>
      <c r="Q44" s="102">
        <f t="shared" si="13"/>
        <v>635</v>
      </c>
      <c r="R44" s="102">
        <f t="shared" si="13"/>
        <v>144</v>
      </c>
      <c r="S44" s="102">
        <f t="shared" si="13"/>
        <v>299</v>
      </c>
      <c r="T44" s="169"/>
      <c r="U44" s="169"/>
      <c r="V44" s="45">
        <f t="shared" si="7"/>
        <v>1525</v>
      </c>
      <c r="W44" s="53">
        <f t="shared" si="14"/>
        <v>2152995</v>
      </c>
      <c r="X44" s="45">
        <f t="shared" si="11"/>
        <v>2464.37</v>
      </c>
      <c r="Y44" s="53">
        <f t="shared" si="15"/>
        <v>3479197.5659999996</v>
      </c>
      <c r="Z44" s="136">
        <f t="shared" si="10"/>
        <v>1326202.5659999996</v>
      </c>
      <c r="AA44" s="46"/>
    </row>
    <row r="45" spans="1:27" x14ac:dyDescent="0.25">
      <c r="A45" s="95"/>
      <c r="B45" s="96">
        <v>280</v>
      </c>
      <c r="C45" s="97" t="s">
        <v>100</v>
      </c>
      <c r="D45" s="34" t="s">
        <v>11</v>
      </c>
      <c r="E45" s="77">
        <v>1762.25</v>
      </c>
      <c r="F45" s="102">
        <f t="shared" si="13"/>
        <v>232</v>
      </c>
      <c r="G45" s="102">
        <f t="shared" si="13"/>
        <v>1008.39</v>
      </c>
      <c r="H45" s="102">
        <f t="shared" si="13"/>
        <v>313</v>
      </c>
      <c r="I45" s="102">
        <f t="shared" si="13"/>
        <v>0</v>
      </c>
      <c r="J45" s="102">
        <f t="shared" si="13"/>
        <v>439</v>
      </c>
      <c r="K45" s="102">
        <f t="shared" si="13"/>
        <v>388</v>
      </c>
      <c r="L45" s="102">
        <f t="shared" si="13"/>
        <v>140</v>
      </c>
      <c r="M45" s="102">
        <f t="shared" si="13"/>
        <v>232</v>
      </c>
      <c r="N45" s="102">
        <f t="shared" si="13"/>
        <v>235</v>
      </c>
      <c r="O45" s="102">
        <f t="shared" si="13"/>
        <v>0</v>
      </c>
      <c r="P45" s="102">
        <f t="shared" si="13"/>
        <v>1040</v>
      </c>
      <c r="Q45" s="102">
        <f t="shared" si="13"/>
        <v>744</v>
      </c>
      <c r="R45" s="102">
        <f t="shared" si="13"/>
        <v>0</v>
      </c>
      <c r="S45" s="102">
        <f t="shared" si="13"/>
        <v>237</v>
      </c>
      <c r="T45" s="169"/>
      <c r="U45" s="169"/>
      <c r="V45" s="45">
        <f t="shared" si="7"/>
        <v>2399</v>
      </c>
      <c r="W45" s="53">
        <f t="shared" si="14"/>
        <v>4227637.75</v>
      </c>
      <c r="X45" s="45">
        <f t="shared" si="11"/>
        <v>2609.39</v>
      </c>
      <c r="Y45" s="53">
        <f t="shared" si="15"/>
        <v>4598397.5274999999</v>
      </c>
      <c r="Z45" s="136">
        <f t="shared" si="10"/>
        <v>370759.77749999985</v>
      </c>
      <c r="AA45" s="46"/>
    </row>
    <row r="46" spans="1:27" x14ac:dyDescent="0.25">
      <c r="A46" s="95"/>
      <c r="B46" s="96">
        <v>315</v>
      </c>
      <c r="C46" s="97" t="s">
        <v>100</v>
      </c>
      <c r="D46" s="34" t="s">
        <v>11</v>
      </c>
      <c r="E46" s="77">
        <v>2218.75</v>
      </c>
      <c r="F46" s="102">
        <f t="shared" si="13"/>
        <v>0</v>
      </c>
      <c r="G46" s="102">
        <f t="shared" si="13"/>
        <v>0</v>
      </c>
      <c r="H46" s="102">
        <f t="shared" si="13"/>
        <v>0</v>
      </c>
      <c r="I46" s="102">
        <f t="shared" si="13"/>
        <v>268</v>
      </c>
      <c r="J46" s="102">
        <f t="shared" si="13"/>
        <v>348</v>
      </c>
      <c r="K46" s="102">
        <f t="shared" si="13"/>
        <v>169</v>
      </c>
      <c r="L46" s="102">
        <f t="shared" si="13"/>
        <v>609</v>
      </c>
      <c r="M46" s="102">
        <f t="shared" si="13"/>
        <v>168</v>
      </c>
      <c r="N46" s="102">
        <f t="shared" si="13"/>
        <v>0</v>
      </c>
      <c r="O46" s="102">
        <f t="shared" si="13"/>
        <v>184</v>
      </c>
      <c r="P46" s="102">
        <f t="shared" si="13"/>
        <v>1429</v>
      </c>
      <c r="Q46" s="102">
        <f t="shared" si="13"/>
        <v>1640</v>
      </c>
      <c r="R46" s="102">
        <f t="shared" si="13"/>
        <v>123</v>
      </c>
      <c r="S46" s="102">
        <f t="shared" si="13"/>
        <v>0</v>
      </c>
      <c r="T46" s="169"/>
      <c r="U46" s="169"/>
      <c r="V46" s="45">
        <f t="shared" si="7"/>
        <v>2509</v>
      </c>
      <c r="W46" s="53">
        <f t="shared" si="14"/>
        <v>5566843.75</v>
      </c>
      <c r="X46" s="45">
        <f t="shared" si="11"/>
        <v>2429</v>
      </c>
      <c r="Y46" s="53">
        <f t="shared" si="15"/>
        <v>5389343.75</v>
      </c>
      <c r="Z46" s="136">
        <f t="shared" si="10"/>
        <v>-177500</v>
      </c>
      <c r="AA46" s="46"/>
    </row>
    <row r="47" spans="1:27" x14ac:dyDescent="0.25">
      <c r="A47" s="95"/>
      <c r="B47" s="96">
        <v>355</v>
      </c>
      <c r="C47" s="97" t="s">
        <v>10</v>
      </c>
      <c r="D47" s="34" t="s">
        <v>11</v>
      </c>
      <c r="E47" s="77">
        <v>2779.4</v>
      </c>
      <c r="F47" s="102">
        <f t="shared" si="13"/>
        <v>380</v>
      </c>
      <c r="G47" s="102">
        <f t="shared" si="13"/>
        <v>225.7</v>
      </c>
      <c r="H47" s="102">
        <f t="shared" si="13"/>
        <v>0</v>
      </c>
      <c r="I47" s="102">
        <f t="shared" si="13"/>
        <v>40</v>
      </c>
      <c r="J47" s="102">
        <f t="shared" si="13"/>
        <v>557</v>
      </c>
      <c r="K47" s="102">
        <f t="shared" si="13"/>
        <v>133</v>
      </c>
      <c r="L47" s="102">
        <f t="shared" si="13"/>
        <v>875</v>
      </c>
      <c r="M47" s="102">
        <f t="shared" si="13"/>
        <v>282</v>
      </c>
      <c r="N47" s="102">
        <f t="shared" si="13"/>
        <v>139</v>
      </c>
      <c r="O47" s="102">
        <f t="shared" si="13"/>
        <v>383</v>
      </c>
      <c r="P47" s="102">
        <f t="shared" si="13"/>
        <v>244</v>
      </c>
      <c r="Q47" s="102">
        <f t="shared" si="13"/>
        <v>2215</v>
      </c>
      <c r="R47" s="102">
        <f t="shared" si="13"/>
        <v>0</v>
      </c>
      <c r="S47" s="102">
        <f t="shared" si="13"/>
        <v>0</v>
      </c>
      <c r="T47" s="169"/>
      <c r="U47" s="169"/>
      <c r="V47" s="45">
        <f t="shared" si="7"/>
        <v>2195</v>
      </c>
      <c r="W47" s="53">
        <f t="shared" si="14"/>
        <v>6100783</v>
      </c>
      <c r="X47" s="45">
        <f t="shared" si="11"/>
        <v>3278.7</v>
      </c>
      <c r="Y47" s="53">
        <f t="shared" si="15"/>
        <v>9112818.7799999993</v>
      </c>
      <c r="Z47" s="136">
        <f t="shared" si="10"/>
        <v>3012035.7799999993</v>
      </c>
      <c r="AA47" s="46"/>
    </row>
    <row r="48" spans="1:27" x14ac:dyDescent="0.25">
      <c r="A48" s="95"/>
      <c r="B48" s="96">
        <v>400</v>
      </c>
      <c r="C48" s="97" t="s">
        <v>10</v>
      </c>
      <c r="D48" s="34" t="s">
        <v>11</v>
      </c>
      <c r="E48" s="77">
        <v>3463.05</v>
      </c>
      <c r="F48" s="102">
        <f t="shared" si="13"/>
        <v>0</v>
      </c>
      <c r="G48" s="102">
        <f t="shared" si="13"/>
        <v>0</v>
      </c>
      <c r="H48" s="102">
        <f t="shared" si="13"/>
        <v>0</v>
      </c>
      <c r="I48" s="102">
        <f t="shared" si="13"/>
        <v>0</v>
      </c>
      <c r="J48" s="102">
        <f t="shared" si="13"/>
        <v>905</v>
      </c>
      <c r="K48" s="102">
        <f t="shared" si="13"/>
        <v>928</v>
      </c>
      <c r="L48" s="102">
        <f t="shared" si="13"/>
        <v>0</v>
      </c>
      <c r="M48" s="102">
        <f t="shared" si="13"/>
        <v>843</v>
      </c>
      <c r="N48" s="102">
        <f t="shared" si="13"/>
        <v>127</v>
      </c>
      <c r="O48" s="102">
        <f t="shared" si="13"/>
        <v>207</v>
      </c>
      <c r="P48" s="102">
        <f t="shared" si="13"/>
        <v>550</v>
      </c>
      <c r="Q48" s="102">
        <f t="shared" si="13"/>
        <v>923</v>
      </c>
      <c r="R48" s="102">
        <f t="shared" si="13"/>
        <v>476</v>
      </c>
      <c r="S48" s="102">
        <f t="shared" si="13"/>
        <v>0</v>
      </c>
      <c r="T48" s="169"/>
      <c r="U48" s="169"/>
      <c r="V48" s="45">
        <f t="shared" si="7"/>
        <v>2058</v>
      </c>
      <c r="W48" s="53">
        <f t="shared" si="14"/>
        <v>7126956.9000000004</v>
      </c>
      <c r="X48" s="45">
        <f t="shared" si="11"/>
        <v>2901</v>
      </c>
      <c r="Y48" s="53">
        <f t="shared" si="15"/>
        <v>10046308.050000001</v>
      </c>
      <c r="Z48" s="136">
        <f t="shared" si="10"/>
        <v>2919351.1500000004</v>
      </c>
      <c r="AA48" s="46"/>
    </row>
    <row r="49" spans="1:27" x14ac:dyDescent="0.25">
      <c r="A49" s="95"/>
      <c r="B49" s="96">
        <v>450</v>
      </c>
      <c r="C49" s="97" t="s">
        <v>10</v>
      </c>
      <c r="D49" s="34" t="s">
        <v>11</v>
      </c>
      <c r="E49" s="77">
        <v>4297.2</v>
      </c>
      <c r="F49" s="102">
        <f t="shared" si="13"/>
        <v>0</v>
      </c>
      <c r="G49" s="102">
        <f t="shared" si="13"/>
        <v>141.94</v>
      </c>
      <c r="H49" s="102">
        <f t="shared" si="13"/>
        <v>0</v>
      </c>
      <c r="I49" s="102">
        <f t="shared" si="13"/>
        <v>0</v>
      </c>
      <c r="J49" s="102">
        <f t="shared" si="13"/>
        <v>0</v>
      </c>
      <c r="K49" s="102">
        <f t="shared" si="13"/>
        <v>165</v>
      </c>
      <c r="L49" s="102">
        <f t="shared" si="13"/>
        <v>0</v>
      </c>
      <c r="M49" s="102">
        <f t="shared" si="13"/>
        <v>0</v>
      </c>
      <c r="N49" s="102">
        <f t="shared" si="13"/>
        <v>329</v>
      </c>
      <c r="O49" s="102">
        <f t="shared" si="13"/>
        <v>0</v>
      </c>
      <c r="P49" s="102">
        <f t="shared" si="13"/>
        <v>1005</v>
      </c>
      <c r="Q49" s="102">
        <f t="shared" si="13"/>
        <v>209</v>
      </c>
      <c r="R49" s="102">
        <f t="shared" si="13"/>
        <v>0</v>
      </c>
      <c r="S49" s="102">
        <f t="shared" si="13"/>
        <v>0</v>
      </c>
      <c r="T49" s="169"/>
      <c r="U49" s="169"/>
      <c r="V49" s="45">
        <f t="shared" si="7"/>
        <v>1334</v>
      </c>
      <c r="W49" s="53">
        <f t="shared" si="14"/>
        <v>5732464.7999999998</v>
      </c>
      <c r="X49" s="45">
        <f t="shared" si="11"/>
        <v>515.94000000000005</v>
      </c>
      <c r="Y49" s="53">
        <f t="shared" si="15"/>
        <v>2217097.3680000002</v>
      </c>
      <c r="Z49" s="136">
        <f t="shared" si="10"/>
        <v>-3515367.4319999996</v>
      </c>
      <c r="AA49" s="46"/>
    </row>
    <row r="50" spans="1:27" x14ac:dyDescent="0.25">
      <c r="A50" s="95"/>
      <c r="B50" s="96">
        <v>500</v>
      </c>
      <c r="C50" s="97" t="s">
        <v>10</v>
      </c>
      <c r="D50" s="34" t="s">
        <v>11</v>
      </c>
      <c r="E50" s="77">
        <v>5265.45</v>
      </c>
      <c r="F50" s="102">
        <f t="shared" si="13"/>
        <v>935</v>
      </c>
      <c r="G50" s="102">
        <f t="shared" si="13"/>
        <v>517.46</v>
      </c>
      <c r="H50" s="102">
        <f t="shared" si="13"/>
        <v>0</v>
      </c>
      <c r="I50" s="102">
        <f t="shared" si="13"/>
        <v>0</v>
      </c>
      <c r="J50" s="102">
        <f t="shared" si="13"/>
        <v>920</v>
      </c>
      <c r="K50" s="102">
        <f t="shared" si="13"/>
        <v>259</v>
      </c>
      <c r="L50" s="102">
        <f t="shared" si="13"/>
        <v>0</v>
      </c>
      <c r="M50" s="102">
        <f t="shared" si="13"/>
        <v>0</v>
      </c>
      <c r="N50" s="102">
        <f t="shared" si="13"/>
        <v>0</v>
      </c>
      <c r="O50" s="102">
        <f t="shared" si="13"/>
        <v>0</v>
      </c>
      <c r="P50" s="102">
        <f t="shared" si="13"/>
        <v>1527</v>
      </c>
      <c r="Q50" s="102">
        <f t="shared" si="13"/>
        <v>136</v>
      </c>
      <c r="R50" s="102">
        <f t="shared" si="13"/>
        <v>289</v>
      </c>
      <c r="S50" s="102">
        <f t="shared" si="13"/>
        <v>933</v>
      </c>
      <c r="T50" s="169"/>
      <c r="U50" s="169"/>
      <c r="V50" s="45">
        <f t="shared" si="7"/>
        <v>3671</v>
      </c>
      <c r="W50" s="53">
        <f t="shared" si="14"/>
        <v>19329466.949999999</v>
      </c>
      <c r="X50" s="45">
        <f t="shared" si="11"/>
        <v>1845.46</v>
      </c>
      <c r="Y50" s="53">
        <f t="shared" si="15"/>
        <v>9717177.3570000008</v>
      </c>
      <c r="Z50" s="136">
        <f t="shared" si="10"/>
        <v>-9612289.5929999985</v>
      </c>
      <c r="AA50" s="46"/>
    </row>
    <row r="51" spans="1:27" x14ac:dyDescent="0.25">
      <c r="A51" s="95"/>
      <c r="B51" s="96">
        <v>560</v>
      </c>
      <c r="C51" s="97" t="s">
        <v>10</v>
      </c>
      <c r="D51" s="34" t="s">
        <v>11</v>
      </c>
      <c r="E51" s="77">
        <v>6515.7</v>
      </c>
      <c r="F51" s="102">
        <f t="shared" si="13"/>
        <v>0</v>
      </c>
      <c r="G51" s="102">
        <f t="shared" si="13"/>
        <v>1366.33</v>
      </c>
      <c r="H51" s="102">
        <f t="shared" si="13"/>
        <v>0</v>
      </c>
      <c r="I51" s="102">
        <f t="shared" si="13"/>
        <v>0</v>
      </c>
      <c r="J51" s="102">
        <f t="shared" si="13"/>
        <v>963</v>
      </c>
      <c r="K51" s="102">
        <f t="shared" si="13"/>
        <v>920</v>
      </c>
      <c r="L51" s="102">
        <f t="shared" si="13"/>
        <v>0</v>
      </c>
      <c r="M51" s="102">
        <f t="shared" si="13"/>
        <v>0</v>
      </c>
      <c r="N51" s="102">
        <f t="shared" si="13"/>
        <v>0</v>
      </c>
      <c r="O51" s="102">
        <f t="shared" si="13"/>
        <v>66</v>
      </c>
      <c r="P51" s="102">
        <f t="shared" si="13"/>
        <v>0</v>
      </c>
      <c r="Q51" s="102">
        <f t="shared" si="13"/>
        <v>243</v>
      </c>
      <c r="R51" s="102">
        <f t="shared" si="13"/>
        <v>970</v>
      </c>
      <c r="S51" s="102">
        <f t="shared" si="13"/>
        <v>174</v>
      </c>
      <c r="T51" s="169"/>
      <c r="U51" s="169"/>
      <c r="V51" s="45">
        <f t="shared" si="7"/>
        <v>1933</v>
      </c>
      <c r="W51" s="53">
        <f t="shared" si="14"/>
        <v>12594848.1</v>
      </c>
      <c r="X51" s="45">
        <f t="shared" si="11"/>
        <v>2769.33</v>
      </c>
      <c r="Y51" s="53">
        <f t="shared" si="15"/>
        <v>18044123.480999999</v>
      </c>
      <c r="Z51" s="136">
        <f t="shared" si="10"/>
        <v>5449275.3809999991</v>
      </c>
      <c r="AA51" s="46"/>
    </row>
    <row r="52" spans="1:27" x14ac:dyDescent="0.25">
      <c r="A52" s="95"/>
      <c r="B52" s="96">
        <v>630</v>
      </c>
      <c r="C52" s="97" t="s">
        <v>10</v>
      </c>
      <c r="D52" s="34" t="s">
        <v>11</v>
      </c>
      <c r="E52" s="77">
        <v>8256.0499999999993</v>
      </c>
      <c r="F52" s="102">
        <f t="shared" si="13"/>
        <v>438</v>
      </c>
      <c r="G52" s="102">
        <f t="shared" si="13"/>
        <v>106.42</v>
      </c>
      <c r="H52" s="102">
        <f t="shared" si="13"/>
        <v>0</v>
      </c>
      <c r="I52" s="102">
        <f t="shared" si="13"/>
        <v>0</v>
      </c>
      <c r="J52" s="102">
        <f t="shared" si="13"/>
        <v>1173</v>
      </c>
      <c r="K52" s="102">
        <f t="shared" si="13"/>
        <v>1138</v>
      </c>
      <c r="L52" s="102">
        <f t="shared" si="13"/>
        <v>0</v>
      </c>
      <c r="M52" s="102">
        <f t="shared" si="13"/>
        <v>0</v>
      </c>
      <c r="N52" s="102">
        <f t="shared" si="13"/>
        <v>1531</v>
      </c>
      <c r="O52" s="102">
        <f t="shared" si="13"/>
        <v>681</v>
      </c>
      <c r="P52" s="102">
        <f t="shared" si="13"/>
        <v>0</v>
      </c>
      <c r="Q52" s="102">
        <f t="shared" si="13"/>
        <v>516</v>
      </c>
      <c r="R52" s="102">
        <f t="shared" si="13"/>
        <v>0</v>
      </c>
      <c r="S52" s="102">
        <f t="shared" si="13"/>
        <v>523</v>
      </c>
      <c r="T52" s="169"/>
      <c r="U52" s="169"/>
      <c r="V52" s="45">
        <f t="shared" si="7"/>
        <v>3142</v>
      </c>
      <c r="W52" s="53">
        <f t="shared" si="14"/>
        <v>25940509.099999998</v>
      </c>
      <c r="X52" s="45">
        <f t="shared" si="11"/>
        <v>2964.42</v>
      </c>
      <c r="Y52" s="53">
        <f t="shared" si="15"/>
        <v>24474399.740999997</v>
      </c>
      <c r="Z52" s="136">
        <f t="shared" si="10"/>
        <v>-1466109.3590000011</v>
      </c>
      <c r="AA52" s="46"/>
    </row>
    <row r="53" spans="1:27" x14ac:dyDescent="0.25">
      <c r="A53" s="95"/>
      <c r="B53" s="96">
        <v>710</v>
      </c>
      <c r="C53" s="97" t="s">
        <v>10</v>
      </c>
      <c r="D53" s="34" t="s">
        <v>11</v>
      </c>
      <c r="E53" s="77">
        <v>10397.35</v>
      </c>
      <c r="F53" s="102">
        <f t="shared" si="13"/>
        <v>0</v>
      </c>
      <c r="G53" s="102">
        <f t="shared" si="13"/>
        <v>0</v>
      </c>
      <c r="H53" s="102">
        <f t="shared" si="13"/>
        <v>0</v>
      </c>
      <c r="I53" s="102">
        <f t="shared" si="13"/>
        <v>0</v>
      </c>
      <c r="J53" s="102">
        <f t="shared" si="13"/>
        <v>1537</v>
      </c>
      <c r="K53" s="102">
        <f t="shared" si="13"/>
        <v>1325</v>
      </c>
      <c r="L53" s="102">
        <f t="shared" si="13"/>
        <v>0</v>
      </c>
      <c r="M53" s="102">
        <f t="shared" si="13"/>
        <v>0</v>
      </c>
      <c r="N53" s="102">
        <f t="shared" si="13"/>
        <v>0</v>
      </c>
      <c r="O53" s="102">
        <f t="shared" si="13"/>
        <v>638</v>
      </c>
      <c r="P53" s="102">
        <f t="shared" si="13"/>
        <v>0</v>
      </c>
      <c r="Q53" s="102">
        <f t="shared" si="13"/>
        <v>522</v>
      </c>
      <c r="R53" s="102">
        <f t="shared" si="13"/>
        <v>615</v>
      </c>
      <c r="S53" s="102">
        <f t="shared" si="13"/>
        <v>182</v>
      </c>
      <c r="T53" s="169"/>
      <c r="U53" s="169"/>
      <c r="V53" s="45">
        <f t="shared" si="7"/>
        <v>2152</v>
      </c>
      <c r="W53" s="53">
        <f t="shared" si="14"/>
        <v>22375097.199999999</v>
      </c>
      <c r="X53" s="45">
        <f t="shared" si="11"/>
        <v>2667</v>
      </c>
      <c r="Y53" s="53">
        <f t="shared" si="15"/>
        <v>27729732.449999999</v>
      </c>
      <c r="Z53" s="136">
        <f t="shared" si="10"/>
        <v>5354635.25</v>
      </c>
      <c r="AA53" s="46"/>
    </row>
    <row r="54" spans="1:27" x14ac:dyDescent="0.25">
      <c r="A54" s="95"/>
      <c r="B54" s="96">
        <v>800</v>
      </c>
      <c r="C54" s="97" t="s">
        <v>10</v>
      </c>
      <c r="D54" s="34" t="s">
        <v>11</v>
      </c>
      <c r="E54" s="77">
        <v>12273.5</v>
      </c>
      <c r="F54" s="102">
        <f t="shared" si="13"/>
        <v>0</v>
      </c>
      <c r="G54" s="102">
        <f t="shared" si="13"/>
        <v>0</v>
      </c>
      <c r="H54" s="102">
        <f t="shared" si="13"/>
        <v>0</v>
      </c>
      <c r="I54" s="102">
        <f t="shared" si="13"/>
        <v>0</v>
      </c>
      <c r="J54" s="102">
        <f t="shared" si="13"/>
        <v>523</v>
      </c>
      <c r="K54" s="102">
        <f t="shared" si="13"/>
        <v>1045</v>
      </c>
      <c r="L54" s="102">
        <f t="shared" si="13"/>
        <v>0</v>
      </c>
      <c r="M54" s="102">
        <f t="shared" si="13"/>
        <v>0</v>
      </c>
      <c r="N54" s="102">
        <f t="shared" si="13"/>
        <v>0</v>
      </c>
      <c r="O54" s="102">
        <f t="shared" si="13"/>
        <v>0</v>
      </c>
      <c r="P54" s="102">
        <f t="shared" si="13"/>
        <v>539</v>
      </c>
      <c r="Q54" s="102">
        <f t="shared" si="13"/>
        <v>1160</v>
      </c>
      <c r="R54" s="102">
        <f t="shared" si="13"/>
        <v>0</v>
      </c>
      <c r="S54" s="102">
        <f t="shared" si="13"/>
        <v>0</v>
      </c>
      <c r="T54" s="169"/>
      <c r="U54" s="169"/>
      <c r="V54" s="45">
        <f t="shared" si="7"/>
        <v>1062</v>
      </c>
      <c r="W54" s="53">
        <f t="shared" si="14"/>
        <v>13034457</v>
      </c>
      <c r="X54" s="45">
        <f t="shared" si="11"/>
        <v>2205</v>
      </c>
      <c r="Y54" s="53">
        <f t="shared" si="15"/>
        <v>27063067.5</v>
      </c>
      <c r="Z54" s="136">
        <f t="shared" si="10"/>
        <v>14028610.5</v>
      </c>
      <c r="AA54" s="46"/>
    </row>
    <row r="55" spans="1:27" x14ac:dyDescent="0.25">
      <c r="A55" s="279" t="s">
        <v>105</v>
      </c>
      <c r="B55" s="279"/>
      <c r="C55" s="279"/>
      <c r="D55" s="3"/>
      <c r="E55" s="3"/>
      <c r="F55" s="3"/>
      <c r="G55" s="3"/>
      <c r="H55" s="3"/>
      <c r="I55" s="149"/>
      <c r="J55" s="3"/>
      <c r="K55" s="102"/>
      <c r="L55" s="3"/>
      <c r="M55" s="3"/>
      <c r="N55" s="3"/>
      <c r="O55" s="3"/>
      <c r="P55" s="3"/>
      <c r="Q55" s="3"/>
      <c r="R55" s="3"/>
      <c r="S55" s="3"/>
      <c r="T55" s="3"/>
      <c r="U55" s="3"/>
      <c r="V55" s="45">
        <f t="shared" si="7"/>
        <v>0</v>
      </c>
      <c r="W55" s="53">
        <f t="shared" si="14"/>
        <v>0</v>
      </c>
      <c r="X55" s="45">
        <f t="shared" si="11"/>
        <v>0</v>
      </c>
      <c r="Y55" s="53">
        <f t="shared" si="15"/>
        <v>0</v>
      </c>
      <c r="Z55" s="136">
        <f t="shared" si="10"/>
        <v>0</v>
      </c>
      <c r="AA55" s="46"/>
    </row>
    <row r="56" spans="1:27" x14ac:dyDescent="0.25">
      <c r="A56" s="105" t="s">
        <v>9</v>
      </c>
      <c r="B56" s="106">
        <v>900</v>
      </c>
      <c r="C56" s="107" t="s">
        <v>10</v>
      </c>
      <c r="D56" s="34" t="s">
        <v>11</v>
      </c>
      <c r="E56" s="146">
        <v>14199.65</v>
      </c>
      <c r="F56" s="102">
        <v>0</v>
      </c>
      <c r="G56" s="102"/>
      <c r="H56" s="102">
        <v>0</v>
      </c>
      <c r="I56" s="102"/>
      <c r="J56" s="94">
        <v>716</v>
      </c>
      <c r="K56" s="94">
        <v>516</v>
      </c>
      <c r="L56" s="102">
        <v>0</v>
      </c>
      <c r="M56" s="102"/>
      <c r="N56" s="102">
        <v>0</v>
      </c>
      <c r="O56" s="102"/>
      <c r="P56" s="103">
        <v>843</v>
      </c>
      <c r="Q56" s="104">
        <v>565</v>
      </c>
      <c r="R56" s="102">
        <v>0</v>
      </c>
      <c r="S56" s="102"/>
      <c r="T56" s="102"/>
      <c r="U56" s="102"/>
      <c r="V56" s="45">
        <f t="shared" si="7"/>
        <v>1559</v>
      </c>
      <c r="W56" s="53">
        <f t="shared" si="14"/>
        <v>22137254.349999998</v>
      </c>
      <c r="X56" s="45">
        <f t="shared" si="11"/>
        <v>1081</v>
      </c>
      <c r="Y56" s="53">
        <f t="shared" si="15"/>
        <v>15349821.65</v>
      </c>
      <c r="Z56" s="136">
        <f t="shared" si="10"/>
        <v>-6787432.6999999974</v>
      </c>
      <c r="AA56" s="46"/>
    </row>
    <row r="57" spans="1:27" x14ac:dyDescent="0.25">
      <c r="A57" s="95"/>
      <c r="B57" s="95"/>
      <c r="C57" s="95"/>
      <c r="D57" s="34"/>
      <c r="E57" s="91"/>
      <c r="F57" s="92"/>
      <c r="G57" s="92"/>
      <c r="H57" s="93"/>
      <c r="I57" s="93"/>
      <c r="J57" s="94"/>
      <c r="K57" s="94"/>
      <c r="L57" s="87"/>
      <c r="M57" s="87"/>
      <c r="N57" s="88"/>
      <c r="O57" s="88"/>
      <c r="P57" s="89"/>
      <c r="Q57" s="89"/>
      <c r="R57" s="90"/>
      <c r="S57" s="90"/>
      <c r="T57" s="90"/>
      <c r="U57" s="90"/>
      <c r="V57" s="45">
        <f t="shared" si="7"/>
        <v>0</v>
      </c>
      <c r="W57" s="53">
        <f t="shared" si="14"/>
        <v>0</v>
      </c>
      <c r="X57" s="45">
        <f t="shared" si="11"/>
        <v>0</v>
      </c>
      <c r="Y57" s="53">
        <f t="shared" si="15"/>
        <v>0</v>
      </c>
      <c r="Z57" s="136">
        <f t="shared" si="10"/>
        <v>0</v>
      </c>
      <c r="AA57" s="46"/>
    </row>
    <row r="58" spans="1:27" x14ac:dyDescent="0.25">
      <c r="A58" s="278" t="s">
        <v>101</v>
      </c>
      <c r="B58" s="279"/>
      <c r="C58" s="279"/>
      <c r="D58" s="34"/>
      <c r="E58" s="91"/>
      <c r="F58" s="92"/>
      <c r="G58" s="92"/>
      <c r="H58" s="93"/>
      <c r="I58" s="93"/>
      <c r="J58" s="94"/>
      <c r="K58" s="94"/>
      <c r="L58" s="87"/>
      <c r="M58" s="87"/>
      <c r="N58" s="88"/>
      <c r="O58" s="88"/>
      <c r="P58" s="89"/>
      <c r="Q58" s="89"/>
      <c r="R58" s="90"/>
      <c r="S58" s="90"/>
      <c r="T58" s="90"/>
      <c r="U58" s="90"/>
      <c r="V58" s="45">
        <f t="shared" si="7"/>
        <v>0</v>
      </c>
      <c r="W58" s="53">
        <f t="shared" si="14"/>
        <v>0</v>
      </c>
      <c r="X58" s="45">
        <f t="shared" si="11"/>
        <v>0</v>
      </c>
      <c r="Y58" s="53">
        <f t="shared" si="15"/>
        <v>0</v>
      </c>
      <c r="Z58" s="136">
        <f t="shared" si="10"/>
        <v>0</v>
      </c>
      <c r="AA58" s="46"/>
    </row>
    <row r="59" spans="1:27" x14ac:dyDescent="0.25">
      <c r="A59" s="95"/>
      <c r="B59" s="96">
        <v>50</v>
      </c>
      <c r="C59" s="98" t="s">
        <v>100</v>
      </c>
      <c r="D59" s="100" t="s">
        <v>29</v>
      </c>
      <c r="E59" s="99">
        <v>11173.650000000001</v>
      </c>
      <c r="F59" s="117">
        <f>+[1]Wetted!$G48</f>
        <v>11</v>
      </c>
      <c r="G59" s="114">
        <f>+[2]Wetted!$G48</f>
        <v>5</v>
      </c>
      <c r="H59" s="117">
        <f>+[1]Wetted!$J48</f>
        <v>5</v>
      </c>
      <c r="I59" s="115">
        <f>+[2]Wetted!$J48</f>
        <v>4</v>
      </c>
      <c r="J59" s="116">
        <f>+[1]Wetted!$M48</f>
        <v>27</v>
      </c>
      <c r="K59" s="116">
        <f>+[2]Wetted!$M48</f>
        <v>25</v>
      </c>
      <c r="L59" s="117">
        <f>+[1]Wetted!$P48</f>
        <v>4</v>
      </c>
      <c r="M59" s="110">
        <f>+[2]Wetted!$P48</f>
        <v>5</v>
      </c>
      <c r="N59" s="111">
        <f>+[1]Wetted!$S48</f>
        <v>14</v>
      </c>
      <c r="O59" s="111">
        <f>+[2]Wetted!$S48</f>
        <v>12</v>
      </c>
      <c r="P59" s="112">
        <f>+[1]Wetted!$V48</f>
        <v>24</v>
      </c>
      <c r="Q59" s="112">
        <f>+[2]Wetted!$V48</f>
        <v>29</v>
      </c>
      <c r="R59" s="113">
        <f>+[1]Wetted!$Y48</f>
        <v>6</v>
      </c>
      <c r="S59" s="113">
        <f>+[2]Wetted!$Y48</f>
        <v>9</v>
      </c>
      <c r="T59" s="113"/>
      <c r="U59" s="113"/>
      <c r="V59" s="45">
        <f t="shared" si="7"/>
        <v>91</v>
      </c>
      <c r="W59" s="53">
        <f t="shared" si="14"/>
        <v>1016802.1500000001</v>
      </c>
      <c r="X59" s="45">
        <f t="shared" si="11"/>
        <v>89</v>
      </c>
      <c r="Y59" s="53">
        <f t="shared" si="15"/>
        <v>994454.85000000009</v>
      </c>
      <c r="Z59" s="136">
        <f t="shared" si="10"/>
        <v>-22347.300000000047</v>
      </c>
      <c r="AA59" s="46"/>
    </row>
    <row r="60" spans="1:27" x14ac:dyDescent="0.25">
      <c r="A60" s="95"/>
      <c r="B60" s="96">
        <v>80</v>
      </c>
      <c r="C60" s="98" t="s">
        <v>10</v>
      </c>
      <c r="D60" s="100" t="s">
        <v>29</v>
      </c>
      <c r="E60" s="99">
        <v>13033.050000000001</v>
      </c>
      <c r="F60" s="117">
        <f>+[1]Wetted!$G49</f>
        <v>9</v>
      </c>
      <c r="G60" s="114">
        <f>+[2]Wetted!$G49</f>
        <v>8</v>
      </c>
      <c r="H60" s="150">
        <f>+[1]Wetted!$J49</f>
        <v>3</v>
      </c>
      <c r="I60" s="115">
        <f>+[2]Wetted!$J49</f>
        <v>4</v>
      </c>
      <c r="J60" s="155">
        <f>+[1]Wetted!$M49</f>
        <v>7</v>
      </c>
      <c r="K60" s="116">
        <f>+[2]Wetted!$M49</f>
        <v>12</v>
      </c>
      <c r="L60" s="117">
        <f>+[1]Wetted!$P49</f>
        <v>2</v>
      </c>
      <c r="M60" s="110">
        <f>+[2]Wetted!$P49</f>
        <v>2</v>
      </c>
      <c r="N60" s="111">
        <f>+[1]Wetted!$S49</f>
        <v>3</v>
      </c>
      <c r="O60" s="111">
        <f>+[2]Wetted!$S49</f>
        <v>8</v>
      </c>
      <c r="P60" s="112">
        <f>+[1]Wetted!$V49</f>
        <v>14</v>
      </c>
      <c r="Q60" s="112">
        <f>+[2]Wetted!$V49</f>
        <v>18</v>
      </c>
      <c r="R60" s="113">
        <f>+[1]Wetted!$Y49</f>
        <v>4</v>
      </c>
      <c r="S60" s="113">
        <f>+[2]Wetted!$Y49</f>
        <v>4</v>
      </c>
      <c r="T60" s="113"/>
      <c r="U60" s="113"/>
      <c r="V60" s="45">
        <f t="shared" si="7"/>
        <v>42</v>
      </c>
      <c r="W60" s="53">
        <f t="shared" si="14"/>
        <v>547388.10000000009</v>
      </c>
      <c r="X60" s="45">
        <f t="shared" si="11"/>
        <v>56</v>
      </c>
      <c r="Y60" s="53">
        <f t="shared" si="15"/>
        <v>729850.8</v>
      </c>
      <c r="Z60" s="136">
        <f t="shared" si="10"/>
        <v>182462.69999999995</v>
      </c>
      <c r="AA60" s="46"/>
    </row>
    <row r="61" spans="1:27" x14ac:dyDescent="0.25">
      <c r="A61" s="95"/>
      <c r="B61" s="96">
        <v>100</v>
      </c>
      <c r="C61" s="98" t="s">
        <v>100</v>
      </c>
      <c r="D61" s="100" t="s">
        <v>29</v>
      </c>
      <c r="E61" s="99">
        <v>14297.550000000001</v>
      </c>
      <c r="F61" s="117">
        <f>+[1]Wetted!$G50</f>
        <v>1</v>
      </c>
      <c r="G61" s="114">
        <f>+[2]Wetted!$G50</f>
        <v>2</v>
      </c>
      <c r="H61" s="150">
        <f>+[1]Wetted!$J50</f>
        <v>0</v>
      </c>
      <c r="I61" s="115">
        <f>+[2]Wetted!$J50</f>
        <v>0</v>
      </c>
      <c r="J61" s="155">
        <f>+[1]Wetted!$M50</f>
        <v>6</v>
      </c>
      <c r="K61" s="116">
        <f>+[2]Wetted!$M50</f>
        <v>5</v>
      </c>
      <c r="L61" s="117">
        <f>+[1]Wetted!$P50</f>
        <v>5</v>
      </c>
      <c r="M61" s="110">
        <f>+[2]Wetted!$P50</f>
        <v>4</v>
      </c>
      <c r="N61" s="111">
        <f>+[1]Wetted!$S50</f>
        <v>2</v>
      </c>
      <c r="O61" s="111">
        <f>+[2]Wetted!$S50</f>
        <v>2</v>
      </c>
      <c r="P61" s="112">
        <f>+[1]Wetted!$V50</f>
        <v>11</v>
      </c>
      <c r="Q61" s="112">
        <f>+[2]Wetted!$V50</f>
        <v>15</v>
      </c>
      <c r="R61" s="113">
        <f>+[1]Wetted!$Y50</f>
        <v>2</v>
      </c>
      <c r="S61" s="113">
        <f>+[2]Wetted!$Y50</f>
        <v>1</v>
      </c>
      <c r="T61" s="113"/>
      <c r="U61" s="113"/>
      <c r="V61" s="45">
        <f t="shared" si="7"/>
        <v>27</v>
      </c>
      <c r="W61" s="53">
        <f t="shared" si="14"/>
        <v>386033.85000000003</v>
      </c>
      <c r="X61" s="45">
        <f t="shared" si="11"/>
        <v>29</v>
      </c>
      <c r="Y61" s="53">
        <f t="shared" si="15"/>
        <v>414628.95</v>
      </c>
      <c r="Z61" s="136">
        <f t="shared" si="10"/>
        <v>28595.099999999977</v>
      </c>
      <c r="AA61" s="46"/>
    </row>
    <row r="62" spans="1:27" x14ac:dyDescent="0.25">
      <c r="A62" s="95"/>
      <c r="B62" s="96">
        <v>150</v>
      </c>
      <c r="C62" s="98" t="s">
        <v>100</v>
      </c>
      <c r="D62" s="100" t="s">
        <v>29</v>
      </c>
      <c r="E62" s="99">
        <v>19768.75</v>
      </c>
      <c r="F62" s="117">
        <f>+[1]Wetted!$G51</f>
        <v>5</v>
      </c>
      <c r="G62" s="114">
        <f>+[2]Wetted!$G51</f>
        <v>5</v>
      </c>
      <c r="H62" s="150">
        <f>+[1]Wetted!$J51</f>
        <v>0</v>
      </c>
      <c r="I62" s="115">
        <f>+[2]Wetted!$J51</f>
        <v>0</v>
      </c>
      <c r="J62" s="155">
        <f>+[1]Wetted!$M51</f>
        <v>10</v>
      </c>
      <c r="K62" s="116">
        <f>+[2]Wetted!$M51</f>
        <v>7</v>
      </c>
      <c r="L62" s="117">
        <f>+[1]Wetted!$P51</f>
        <v>0</v>
      </c>
      <c r="M62" s="110">
        <f>+[2]Wetted!$P51</f>
        <v>0</v>
      </c>
      <c r="N62" s="111">
        <f>+[1]Wetted!$S51</f>
        <v>5</v>
      </c>
      <c r="O62" s="111">
        <f>+[2]Wetted!$S51</f>
        <v>4</v>
      </c>
      <c r="P62" s="112">
        <f>+[1]Wetted!$V51</f>
        <v>5</v>
      </c>
      <c r="Q62" s="112">
        <f>+[2]Wetted!$V51</f>
        <v>3</v>
      </c>
      <c r="R62" s="113">
        <f>+[1]Wetted!$Y51</f>
        <v>4</v>
      </c>
      <c r="S62" s="113">
        <f>+[2]Wetted!$Y51</f>
        <v>5</v>
      </c>
      <c r="T62" s="113"/>
      <c r="U62" s="113"/>
      <c r="V62" s="45">
        <f t="shared" si="7"/>
        <v>29</v>
      </c>
      <c r="W62" s="53">
        <f t="shared" si="14"/>
        <v>573293.75</v>
      </c>
      <c r="X62" s="45">
        <f t="shared" si="11"/>
        <v>24</v>
      </c>
      <c r="Y62" s="53">
        <f t="shared" si="15"/>
        <v>474450</v>
      </c>
      <c r="Z62" s="136">
        <f t="shared" si="10"/>
        <v>-98843.75</v>
      </c>
      <c r="AA62" s="46"/>
    </row>
    <row r="63" spans="1:27" x14ac:dyDescent="0.25">
      <c r="A63" s="95"/>
      <c r="B63" s="96">
        <v>200</v>
      </c>
      <c r="C63" s="98" t="s">
        <v>100</v>
      </c>
      <c r="D63" s="100" t="s">
        <v>29</v>
      </c>
      <c r="E63" s="99">
        <v>30815.100000000002</v>
      </c>
      <c r="F63" s="117">
        <f>+[1]Wetted!$G52</f>
        <v>0</v>
      </c>
      <c r="G63" s="114">
        <f>+[2]Wetted!$G52</f>
        <v>0</v>
      </c>
      <c r="H63" s="150">
        <f>+[1]Wetted!$J52</f>
        <v>0</v>
      </c>
      <c r="I63" s="115">
        <f>+[2]Wetted!$J52</f>
        <v>0</v>
      </c>
      <c r="J63" s="155">
        <f>+[1]Wetted!$M52</f>
        <v>9</v>
      </c>
      <c r="K63" s="116">
        <f>+[2]Wetted!$M52</f>
        <v>10</v>
      </c>
      <c r="L63" s="117">
        <f>+[1]Wetted!$P52</f>
        <v>0</v>
      </c>
      <c r="M63" s="110">
        <f>+[2]Wetted!$P52</f>
        <v>0</v>
      </c>
      <c r="N63" s="111">
        <f>+[1]Wetted!$S52</f>
        <v>0</v>
      </c>
      <c r="O63" s="111">
        <f>+[2]Wetted!$S52</f>
        <v>0</v>
      </c>
      <c r="P63" s="112">
        <f>+[1]Wetted!$V52</f>
        <v>5</v>
      </c>
      <c r="Q63" s="112">
        <f>+[2]Wetted!$V52</f>
        <v>8</v>
      </c>
      <c r="R63" s="113">
        <f>+[1]Wetted!$Y52</f>
        <v>2</v>
      </c>
      <c r="S63" s="113">
        <f>+[2]Wetted!$Y52</f>
        <v>0</v>
      </c>
      <c r="T63" s="113"/>
      <c r="U63" s="113"/>
      <c r="V63" s="45">
        <f t="shared" si="7"/>
        <v>16</v>
      </c>
      <c r="W63" s="53">
        <f t="shared" si="14"/>
        <v>493041.60000000003</v>
      </c>
      <c r="X63" s="45">
        <f t="shared" si="11"/>
        <v>18</v>
      </c>
      <c r="Y63" s="53">
        <f t="shared" si="15"/>
        <v>554671.80000000005</v>
      </c>
      <c r="Z63" s="136">
        <f t="shared" si="10"/>
        <v>61630.200000000012</v>
      </c>
      <c r="AA63" s="46"/>
    </row>
    <row r="64" spans="1:27" x14ac:dyDescent="0.25">
      <c r="A64" s="95"/>
      <c r="B64" s="95"/>
      <c r="C64" s="95"/>
      <c r="D64" s="34"/>
      <c r="E64" s="91"/>
      <c r="F64" s="92"/>
      <c r="G64" s="92"/>
      <c r="H64" s="151"/>
      <c r="I64" s="93"/>
      <c r="J64" s="156"/>
      <c r="K64" s="94"/>
      <c r="L64" s="87"/>
      <c r="M64" s="87"/>
      <c r="N64" s="88"/>
      <c r="O64" s="88"/>
      <c r="P64" s="89"/>
      <c r="Q64" s="89"/>
      <c r="R64" s="90"/>
      <c r="S64" s="90"/>
      <c r="T64" s="90"/>
      <c r="U64" s="90"/>
      <c r="V64" s="45">
        <f t="shared" si="7"/>
        <v>0</v>
      </c>
      <c r="W64" s="53">
        <f t="shared" si="14"/>
        <v>0</v>
      </c>
      <c r="X64" s="45">
        <f t="shared" si="11"/>
        <v>0</v>
      </c>
      <c r="Y64" s="53">
        <f t="shared" si="15"/>
        <v>0</v>
      </c>
      <c r="Z64" s="136">
        <f t="shared" si="10"/>
        <v>0</v>
      </c>
      <c r="AA64" s="46"/>
    </row>
    <row r="65" spans="1:27" x14ac:dyDescent="0.25">
      <c r="A65" s="278" t="s">
        <v>102</v>
      </c>
      <c r="B65" s="279"/>
      <c r="C65" s="279"/>
      <c r="D65" s="34"/>
      <c r="E65" s="91"/>
      <c r="F65" s="92"/>
      <c r="G65" s="92"/>
      <c r="H65" s="151"/>
      <c r="I65" s="93"/>
      <c r="J65" s="156"/>
      <c r="K65" s="94"/>
      <c r="L65" s="87"/>
      <c r="M65" s="87"/>
      <c r="N65" s="88"/>
      <c r="O65" s="88"/>
      <c r="P65" s="89"/>
      <c r="Q65" s="89"/>
      <c r="R65" s="90"/>
      <c r="S65" s="90"/>
      <c r="T65" s="90"/>
      <c r="U65" s="90"/>
      <c r="V65" s="45">
        <f t="shared" si="7"/>
        <v>0</v>
      </c>
      <c r="W65" s="53">
        <f t="shared" si="14"/>
        <v>0</v>
      </c>
      <c r="X65" s="45">
        <f t="shared" si="11"/>
        <v>0</v>
      </c>
      <c r="Y65" s="53">
        <f t="shared" si="15"/>
        <v>0</v>
      </c>
      <c r="Z65" s="136">
        <f t="shared" si="10"/>
        <v>0</v>
      </c>
      <c r="AA65" s="46"/>
    </row>
    <row r="66" spans="1:27" x14ac:dyDescent="0.25">
      <c r="A66" s="95"/>
      <c r="B66" s="277" t="s">
        <v>30</v>
      </c>
      <c r="C66" s="277"/>
      <c r="D66" s="101" t="s">
        <v>29</v>
      </c>
      <c r="E66" s="91">
        <v>7524</v>
      </c>
      <c r="F66" s="114">
        <f>+[1]Wetted!$G55</f>
        <v>11</v>
      </c>
      <c r="G66" s="114">
        <f>+[2]Wetted!$G55</f>
        <v>5</v>
      </c>
      <c r="H66" s="152">
        <f>+[1]Wetted!$J55</f>
        <v>5</v>
      </c>
      <c r="I66" s="115">
        <f>+[2]Wetted!$J55</f>
        <v>4</v>
      </c>
      <c r="J66" s="155">
        <f>+[1]Wetted!$M55</f>
        <v>27</v>
      </c>
      <c r="K66" s="116">
        <f>+[2]Wetted!$M55</f>
        <v>25</v>
      </c>
      <c r="L66" s="110">
        <f>+[1]Wetted!$P55</f>
        <v>4</v>
      </c>
      <c r="M66" s="110">
        <f>+[2]Wetted!$P55</f>
        <v>5</v>
      </c>
      <c r="N66" s="111">
        <f>+[1]Wetted!$S55</f>
        <v>14</v>
      </c>
      <c r="O66" s="111">
        <f>+[2]Wetted!$S55</f>
        <v>12</v>
      </c>
      <c r="P66" s="112">
        <f>+[1]Wetted!$V55</f>
        <v>24</v>
      </c>
      <c r="Q66" s="112">
        <f>+[2]Wetted!$V55</f>
        <v>29</v>
      </c>
      <c r="R66" s="113">
        <f>+[1]Wetted!$Y55</f>
        <v>6</v>
      </c>
      <c r="S66" s="113">
        <f>+[2]Wetted!$Y55</f>
        <v>9</v>
      </c>
      <c r="T66" s="113"/>
      <c r="U66" s="113"/>
      <c r="V66" s="45">
        <f t="shared" si="7"/>
        <v>91</v>
      </c>
      <c r="W66" s="53">
        <f t="shared" si="14"/>
        <v>684684</v>
      </c>
      <c r="X66" s="45">
        <f t="shared" si="11"/>
        <v>89</v>
      </c>
      <c r="Y66" s="53">
        <f t="shared" si="15"/>
        <v>669636</v>
      </c>
      <c r="Z66" s="136">
        <f t="shared" si="10"/>
        <v>-15048</v>
      </c>
      <c r="AA66" s="46"/>
    </row>
    <row r="67" spans="1:27" x14ac:dyDescent="0.25">
      <c r="A67" s="95"/>
      <c r="B67" s="277" t="s">
        <v>31</v>
      </c>
      <c r="C67" s="277"/>
      <c r="D67" s="101" t="s">
        <v>29</v>
      </c>
      <c r="E67" s="91">
        <v>9076.3000000000011</v>
      </c>
      <c r="F67" s="114">
        <f>+[1]Wetted!$G56</f>
        <v>10</v>
      </c>
      <c r="G67" s="114">
        <f>+[2]Wetted!$G56</f>
        <v>10</v>
      </c>
      <c r="H67" s="152">
        <f>+[1]Wetted!$J56</f>
        <v>3</v>
      </c>
      <c r="I67" s="115">
        <f>+[2]Wetted!$J56</f>
        <v>4</v>
      </c>
      <c r="J67" s="155">
        <f>+[1]Wetted!$M56</f>
        <v>13</v>
      </c>
      <c r="K67" s="116">
        <f>+[2]Wetted!$M56</f>
        <v>17</v>
      </c>
      <c r="L67" s="110">
        <f>+[1]Wetted!$P56</f>
        <v>7</v>
      </c>
      <c r="M67" s="110">
        <f>+[2]Wetted!$P56</f>
        <v>6</v>
      </c>
      <c r="N67" s="111">
        <f>+[1]Wetted!$S56</f>
        <v>5</v>
      </c>
      <c r="O67" s="111">
        <f>+[2]Wetted!$S56</f>
        <v>10</v>
      </c>
      <c r="P67" s="112">
        <f>+[1]Wetted!$V56</f>
        <v>25</v>
      </c>
      <c r="Q67" s="112">
        <f>+[2]Wetted!$V56</f>
        <v>33</v>
      </c>
      <c r="R67" s="113">
        <f>+[1]Wetted!$Y56</f>
        <v>6</v>
      </c>
      <c r="S67" s="113">
        <f>+[2]Wetted!$Y56</f>
        <v>5</v>
      </c>
      <c r="T67" s="113"/>
      <c r="U67" s="113"/>
      <c r="V67" s="45">
        <f t="shared" si="7"/>
        <v>69</v>
      </c>
      <c r="W67" s="53">
        <f t="shared" si="14"/>
        <v>626264.70000000007</v>
      </c>
      <c r="X67" s="45">
        <f t="shared" ref="X67:X103" si="16">S67+Q67+O67+M67+K67+I67+G67</f>
        <v>85</v>
      </c>
      <c r="Y67" s="53">
        <f t="shared" si="15"/>
        <v>771485.50000000012</v>
      </c>
      <c r="Z67" s="136">
        <f t="shared" si="10"/>
        <v>145220.80000000005</v>
      </c>
      <c r="AA67" s="46"/>
    </row>
    <row r="68" spans="1:27" x14ac:dyDescent="0.25">
      <c r="A68" s="95"/>
      <c r="B68" s="277" t="s">
        <v>32</v>
      </c>
      <c r="C68" s="277"/>
      <c r="D68" s="101" t="s">
        <v>29</v>
      </c>
      <c r="E68" s="91">
        <v>17283.400000000001</v>
      </c>
      <c r="F68" s="114">
        <f>+[1]Wetted!$G57</f>
        <v>5</v>
      </c>
      <c r="G68" s="114">
        <f>+[2]Wetted!$G57</f>
        <v>5</v>
      </c>
      <c r="H68" s="152">
        <f>+[1]Wetted!$J57</f>
        <v>0</v>
      </c>
      <c r="I68" s="115">
        <f>+[2]Wetted!$J57</f>
        <v>0</v>
      </c>
      <c r="J68" s="155">
        <f>+[1]Wetted!$M57</f>
        <v>19</v>
      </c>
      <c r="K68" s="116">
        <f>+[2]Wetted!$M57</f>
        <v>17</v>
      </c>
      <c r="L68" s="110">
        <f>+[1]Wetted!$P57</f>
        <v>0</v>
      </c>
      <c r="M68" s="110">
        <f>+[2]Wetted!$P57</f>
        <v>0</v>
      </c>
      <c r="N68" s="111">
        <f>+[1]Wetted!$S57</f>
        <v>5</v>
      </c>
      <c r="O68" s="111">
        <f>+[2]Wetted!$S57</f>
        <v>4</v>
      </c>
      <c r="P68" s="112">
        <f>+[1]Wetted!$V57</f>
        <v>10</v>
      </c>
      <c r="Q68" s="112">
        <f>+[2]Wetted!$V57</f>
        <v>11</v>
      </c>
      <c r="R68" s="113">
        <f>+[1]Wetted!$Y57</f>
        <v>6</v>
      </c>
      <c r="S68" s="113">
        <f>+[2]Wetted!$Y57</f>
        <v>5</v>
      </c>
      <c r="T68" s="113"/>
      <c r="U68" s="113"/>
      <c r="V68" s="45">
        <f t="shared" si="7"/>
        <v>45</v>
      </c>
      <c r="W68" s="53">
        <f t="shared" si="14"/>
        <v>777753.00000000012</v>
      </c>
      <c r="X68" s="45">
        <f t="shared" si="16"/>
        <v>42</v>
      </c>
      <c r="Y68" s="53">
        <f t="shared" si="15"/>
        <v>725902.8</v>
      </c>
      <c r="Z68" s="136">
        <f t="shared" si="10"/>
        <v>-51850.20000000007</v>
      </c>
      <c r="AA68" s="46"/>
    </row>
    <row r="69" spans="1:27" x14ac:dyDescent="0.25">
      <c r="A69" s="95"/>
      <c r="B69" s="95"/>
      <c r="C69" s="95"/>
      <c r="D69" s="34"/>
      <c r="E69" s="91"/>
      <c r="F69" s="114"/>
      <c r="G69" s="114"/>
      <c r="H69" s="152"/>
      <c r="I69" s="115"/>
      <c r="J69" s="155"/>
      <c r="K69" s="116"/>
      <c r="L69" s="110"/>
      <c r="M69" s="110"/>
      <c r="N69" s="111"/>
      <c r="O69" s="111"/>
      <c r="P69" s="112"/>
      <c r="Q69" s="112"/>
      <c r="R69" s="113"/>
      <c r="S69" s="113"/>
      <c r="T69" s="113"/>
      <c r="U69" s="113"/>
      <c r="V69" s="45">
        <f t="shared" si="7"/>
        <v>0</v>
      </c>
      <c r="W69" s="53">
        <f t="shared" si="14"/>
        <v>0</v>
      </c>
      <c r="X69" s="45">
        <f t="shared" si="16"/>
        <v>0</v>
      </c>
      <c r="Y69" s="53">
        <f t="shared" si="15"/>
        <v>0</v>
      </c>
      <c r="Z69" s="136">
        <f t="shared" si="10"/>
        <v>0</v>
      </c>
      <c r="AA69" s="46"/>
    </row>
    <row r="70" spans="1:27" x14ac:dyDescent="0.25">
      <c r="A70" s="278" t="s">
        <v>103</v>
      </c>
      <c r="B70" s="279"/>
      <c r="C70" s="279"/>
      <c r="D70" s="34"/>
      <c r="E70" s="91">
        <v>5507.6</v>
      </c>
      <c r="F70" s="114">
        <f>+[1]Wetted!$G58</f>
        <v>79.09</v>
      </c>
      <c r="G70" s="114">
        <f>+[2]Wetted!$G58</f>
        <v>68.36</v>
      </c>
      <c r="H70" s="152">
        <f>+[1]Wetted!$J58</f>
        <v>42.34</v>
      </c>
      <c r="I70" s="115">
        <f>+[2]Wetted!$J58</f>
        <v>44.580000000000005</v>
      </c>
      <c r="J70" s="155">
        <f>+[1]Wetted!$M58</f>
        <v>182.99</v>
      </c>
      <c r="K70" s="116">
        <f>+[2]Wetted!$M58</f>
        <v>182.32000000000002</v>
      </c>
      <c r="L70" s="110">
        <f>+[1]Wetted!$P58</f>
        <v>39.35</v>
      </c>
      <c r="M70" s="110">
        <f>+[2]Wetted!$P58</f>
        <v>38.910000000000004</v>
      </c>
      <c r="N70" s="111">
        <f>+[1]Wetted!$S58</f>
        <v>83.4</v>
      </c>
      <c r="O70" s="111">
        <f>+[2]Wetted!$S58</f>
        <v>88.850000000000009</v>
      </c>
      <c r="P70" s="112">
        <f>+[1]Wetted!$V58</f>
        <v>220.25</v>
      </c>
      <c r="Q70" s="112">
        <f>+[2]Wetted!$V58</f>
        <v>250.47999999999996</v>
      </c>
      <c r="R70" s="113">
        <f>+[1]Wetted!$Y58</f>
        <v>64.03</v>
      </c>
      <c r="S70" s="113">
        <f>+[2]Wetted!$Y58</f>
        <v>64.239999999999995</v>
      </c>
      <c r="T70" s="113"/>
      <c r="U70" s="113"/>
      <c r="V70" s="45">
        <f t="shared" si="7"/>
        <v>711.45</v>
      </c>
      <c r="W70" s="53">
        <f t="shared" si="14"/>
        <v>3918382.0200000005</v>
      </c>
      <c r="X70" s="45">
        <f t="shared" si="16"/>
        <v>737.74000000000012</v>
      </c>
      <c r="Y70" s="53">
        <f t="shared" si="15"/>
        <v>4063176.824000001</v>
      </c>
      <c r="Z70" s="136">
        <f t="shared" si="10"/>
        <v>144794.80400000047</v>
      </c>
      <c r="AA70" s="46"/>
    </row>
    <row r="71" spans="1:27" x14ac:dyDescent="0.25">
      <c r="A71" s="278" t="s">
        <v>104</v>
      </c>
      <c r="B71" s="279"/>
      <c r="C71" s="279"/>
      <c r="D71" s="34"/>
      <c r="E71" s="91">
        <v>7210.7</v>
      </c>
      <c r="F71" s="114">
        <f>+[1]Wetted!$G59</f>
        <v>477.59877749999998</v>
      </c>
      <c r="G71" s="114">
        <f>+[2]Wetted!$G59</f>
        <v>419.02481237500001</v>
      </c>
      <c r="H71" s="152">
        <f>+[1]Wetted!$J59</f>
        <v>210.24</v>
      </c>
      <c r="I71" s="115">
        <f>+[2]Wetted!$J59</f>
        <v>224.94</v>
      </c>
      <c r="J71" s="155">
        <f>+[1]Wetted!$M59</f>
        <v>1065.7034478750002</v>
      </c>
      <c r="K71" s="116">
        <f>+[2]Wetted!$M59</f>
        <v>1061.3039016250002</v>
      </c>
      <c r="L71" s="110">
        <f>+[1]Wetted!$P59</f>
        <v>257.41508599999997</v>
      </c>
      <c r="M71" s="110">
        <f>+[2]Wetted!$P59</f>
        <v>254.51303200000001</v>
      </c>
      <c r="N71" s="111">
        <f>+[1]Wetted!$S59</f>
        <v>524.08399337499998</v>
      </c>
      <c r="O71" s="111">
        <f>+[2]Wetted!$S59</f>
        <v>555.95012212500001</v>
      </c>
      <c r="P71" s="112">
        <f>+[1]Wetted!$V59</f>
        <v>1308.25</v>
      </c>
      <c r="Q71" s="112">
        <f>+[2]Wetted!$V59</f>
        <v>1479.17</v>
      </c>
      <c r="R71" s="113">
        <f>+[1]Wetted!$Y59</f>
        <v>390.46687087500004</v>
      </c>
      <c r="S71" s="113">
        <f>+[2]Wetted!$Y59</f>
        <v>389.86752050000001</v>
      </c>
      <c r="T71" s="113"/>
      <c r="U71" s="113"/>
      <c r="V71" s="45">
        <f t="shared" si="7"/>
        <v>4233.7581756250001</v>
      </c>
      <c r="W71" s="53">
        <f t="shared" si="14"/>
        <v>30528360.076979186</v>
      </c>
      <c r="X71" s="45">
        <f t="shared" si="16"/>
        <v>4384.7693886250008</v>
      </c>
      <c r="Y71" s="53">
        <f t="shared" si="15"/>
        <v>31617256.630558293</v>
      </c>
      <c r="Z71" s="136">
        <f t="shared" si="10"/>
        <v>1088896.5535791069</v>
      </c>
      <c r="AA71" s="46"/>
    </row>
    <row r="72" spans="1:27" x14ac:dyDescent="0.25">
      <c r="A72" s="95"/>
      <c r="B72" s="95"/>
      <c r="C72" s="95"/>
      <c r="D72" s="34"/>
      <c r="E72" s="143"/>
      <c r="F72" s="114"/>
      <c r="G72" s="114"/>
      <c r="H72" s="152"/>
      <c r="I72" s="115"/>
      <c r="J72" s="155"/>
      <c r="K72" s="116"/>
      <c r="L72" s="110"/>
      <c r="M72" s="110"/>
      <c r="N72" s="111"/>
      <c r="O72" s="111"/>
      <c r="P72" s="112"/>
      <c r="Q72" s="112"/>
      <c r="R72" s="113"/>
      <c r="S72" s="113"/>
      <c r="T72" s="113"/>
      <c r="U72" s="113"/>
      <c r="V72" s="45">
        <f t="shared" si="7"/>
        <v>0</v>
      </c>
      <c r="W72" s="53">
        <f t="shared" si="14"/>
        <v>0</v>
      </c>
      <c r="X72" s="45">
        <f t="shared" si="16"/>
        <v>0</v>
      </c>
      <c r="Y72" s="53">
        <f t="shared" si="15"/>
        <v>0</v>
      </c>
      <c r="Z72" s="136">
        <f t="shared" si="10"/>
        <v>0</v>
      </c>
      <c r="AA72" s="46"/>
    </row>
    <row r="73" spans="1:27" x14ac:dyDescent="0.25">
      <c r="A73" s="274" t="s">
        <v>106</v>
      </c>
      <c r="B73" s="275"/>
      <c r="C73" s="276"/>
      <c r="D73" s="119" t="s">
        <v>33</v>
      </c>
      <c r="E73" s="144">
        <v>76604.45</v>
      </c>
      <c r="F73" s="140">
        <v>26.88</v>
      </c>
      <c r="G73" s="86">
        <f>+[3]Abstract!$A$58</f>
        <v>23.972999999999999</v>
      </c>
      <c r="H73" s="153">
        <v>14.08</v>
      </c>
      <c r="I73" s="149">
        <f>+[4]Abstract!$A$57</f>
        <v>14.81</v>
      </c>
      <c r="J73" s="140">
        <v>56.6</v>
      </c>
      <c r="K73" s="86">
        <f>+[5]Abstract!$A$58</f>
        <v>56.38</v>
      </c>
      <c r="L73" s="86">
        <v>15.47</v>
      </c>
      <c r="M73" s="86">
        <f>+[6]Abstract!$A$57</f>
        <v>15.32</v>
      </c>
      <c r="N73" s="86">
        <v>29.35</v>
      </c>
      <c r="O73" s="86">
        <f>+[7]Abstract!$A$58</f>
        <v>30.94</v>
      </c>
      <c r="P73" s="86">
        <v>68.489999999999995</v>
      </c>
      <c r="Q73" s="86">
        <f>+[8]Abstract!$A$58</f>
        <v>77.03</v>
      </c>
      <c r="R73" s="86">
        <v>22.12</v>
      </c>
      <c r="S73" s="86">
        <f>+[9]Abstract!$A$58</f>
        <v>22.29</v>
      </c>
      <c r="T73" s="86"/>
      <c r="U73" s="86"/>
      <c r="V73" s="45">
        <f t="shared" si="7"/>
        <v>232.99</v>
      </c>
      <c r="W73" s="53">
        <f t="shared" si="14"/>
        <v>17848070.805500001</v>
      </c>
      <c r="X73" s="45">
        <f t="shared" si="16"/>
        <v>240.74299999999999</v>
      </c>
      <c r="Y73" s="53">
        <f t="shared" ref="Y73:Y103" si="17">+X73*$E73</f>
        <v>18441985.106349997</v>
      </c>
      <c r="Z73" s="136">
        <f t="shared" ref="Z73:Z103" si="18">Y73-W73</f>
        <v>593914.30084999651</v>
      </c>
    </row>
    <row r="74" spans="1:27" x14ac:dyDescent="0.25">
      <c r="A74" s="247" t="s">
        <v>107</v>
      </c>
      <c r="B74" s="248"/>
      <c r="C74" s="249"/>
      <c r="D74" s="2"/>
      <c r="E74" s="145"/>
      <c r="F74" s="118"/>
      <c r="G74" s="1"/>
      <c r="H74" s="2"/>
      <c r="I74" s="149"/>
      <c r="J74" s="11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45">
        <f t="shared" si="7"/>
        <v>0</v>
      </c>
      <c r="W74" s="53">
        <f t="shared" si="14"/>
        <v>0</v>
      </c>
      <c r="X74" s="45">
        <f t="shared" si="16"/>
        <v>0</v>
      </c>
      <c r="Y74" s="53">
        <f t="shared" si="17"/>
        <v>0</v>
      </c>
      <c r="Z74" s="136">
        <f t="shared" si="18"/>
        <v>0</v>
      </c>
    </row>
    <row r="75" spans="1:27" x14ac:dyDescent="0.25">
      <c r="A75" s="71" t="s">
        <v>13</v>
      </c>
      <c r="B75" s="72">
        <v>100</v>
      </c>
      <c r="C75" s="73" t="s">
        <v>10</v>
      </c>
      <c r="D75" s="138" t="s">
        <v>34</v>
      </c>
      <c r="E75" s="144">
        <v>11767.5</v>
      </c>
      <c r="F75" s="141">
        <v>18</v>
      </c>
      <c r="G75" s="74">
        <f>+[3]Abstract!$A60</f>
        <v>18</v>
      </c>
      <c r="H75" s="154">
        <v>7</v>
      </c>
      <c r="I75" s="157">
        <f>+[4]Abstract!$A59</f>
        <v>7</v>
      </c>
      <c r="J75" s="141">
        <v>47</v>
      </c>
      <c r="K75" s="74">
        <f>+[5]Abstract!$A60</f>
        <v>47</v>
      </c>
      <c r="L75" s="74">
        <v>7</v>
      </c>
      <c r="M75" s="74">
        <f>+[6]Abstract!$A59</f>
        <v>7</v>
      </c>
      <c r="N75" s="74">
        <v>19</v>
      </c>
      <c r="O75" s="74">
        <f>+[7]Abstract!$A60</f>
        <v>19</v>
      </c>
      <c r="P75" s="74">
        <v>95</v>
      </c>
      <c r="Q75" s="74">
        <f>+[8]Abstract!$A60</f>
        <v>95</v>
      </c>
      <c r="R75" s="74">
        <v>7</v>
      </c>
      <c r="S75" s="74">
        <f>+[9]Abstract!$A60</f>
        <v>7</v>
      </c>
      <c r="T75" s="74"/>
      <c r="U75" s="74"/>
      <c r="V75" s="45">
        <f t="shared" si="7"/>
        <v>200</v>
      </c>
      <c r="W75" s="53">
        <f t="shared" si="14"/>
        <v>2353500</v>
      </c>
      <c r="X75" s="45">
        <f t="shared" si="16"/>
        <v>200</v>
      </c>
      <c r="Y75" s="53">
        <f t="shared" si="17"/>
        <v>2353500</v>
      </c>
      <c r="Z75" s="136">
        <f t="shared" si="18"/>
        <v>0</v>
      </c>
    </row>
    <row r="76" spans="1:27" x14ac:dyDescent="0.25">
      <c r="A76" s="71" t="s">
        <v>14</v>
      </c>
      <c r="B76" s="72">
        <v>150</v>
      </c>
      <c r="C76" s="73" t="s">
        <v>10</v>
      </c>
      <c r="D76" s="138" t="s">
        <v>34</v>
      </c>
      <c r="E76" s="144">
        <v>16556.95</v>
      </c>
      <c r="F76" s="141">
        <v>5</v>
      </c>
      <c r="G76" s="74">
        <f>+[3]Abstract!$A61</f>
        <v>5</v>
      </c>
      <c r="H76" s="154">
        <v>1</v>
      </c>
      <c r="I76" s="157">
        <f>+[4]Abstract!$A60</f>
        <v>1</v>
      </c>
      <c r="J76" s="141">
        <v>3</v>
      </c>
      <c r="K76" s="74">
        <f>+[5]Abstract!$A61</f>
        <v>3</v>
      </c>
      <c r="L76" s="74">
        <v>1</v>
      </c>
      <c r="M76" s="74">
        <f>+[6]Abstract!$A60</f>
        <v>1</v>
      </c>
      <c r="N76" s="74">
        <v>5</v>
      </c>
      <c r="O76" s="74">
        <f>+[7]Abstract!$A61</f>
        <v>5</v>
      </c>
      <c r="P76" s="74">
        <v>13</v>
      </c>
      <c r="Q76" s="74">
        <f>+[8]Abstract!$A61</f>
        <v>13</v>
      </c>
      <c r="R76" s="74">
        <v>10</v>
      </c>
      <c r="S76" s="74">
        <f>+[9]Abstract!$A61</f>
        <v>10</v>
      </c>
      <c r="T76" s="74"/>
      <c r="U76" s="74"/>
      <c r="V76" s="45">
        <f t="shared" si="7"/>
        <v>38</v>
      </c>
      <c r="W76" s="53">
        <f t="shared" si="14"/>
        <v>629164.1</v>
      </c>
      <c r="X76" s="45">
        <f t="shared" si="16"/>
        <v>38</v>
      </c>
      <c r="Y76" s="53">
        <f t="shared" si="17"/>
        <v>629164.1</v>
      </c>
      <c r="Z76" s="136">
        <f t="shared" si="18"/>
        <v>0</v>
      </c>
    </row>
    <row r="77" spans="1:27" x14ac:dyDescent="0.25">
      <c r="A77" s="71" t="s">
        <v>15</v>
      </c>
      <c r="B77" s="72">
        <v>200</v>
      </c>
      <c r="C77" s="73" t="s">
        <v>10</v>
      </c>
      <c r="D77" s="138" t="s">
        <v>34</v>
      </c>
      <c r="E77" s="144">
        <v>25959</v>
      </c>
      <c r="F77" s="141">
        <v>3</v>
      </c>
      <c r="G77" s="74">
        <f>+[3]Abstract!$A62</f>
        <v>3</v>
      </c>
      <c r="H77" s="154">
        <v>2</v>
      </c>
      <c r="I77" s="157">
        <f>+[4]Abstract!$A61</f>
        <v>2</v>
      </c>
      <c r="J77" s="141">
        <v>3</v>
      </c>
      <c r="K77" s="74">
        <f>+[5]Abstract!$A62</f>
        <v>3</v>
      </c>
      <c r="L77" s="74">
        <v>2</v>
      </c>
      <c r="M77" s="74">
        <f>+[6]Abstract!$A61</f>
        <v>2</v>
      </c>
      <c r="N77" s="74">
        <v>2</v>
      </c>
      <c r="O77" s="74">
        <f>+[7]Abstract!$A62</f>
        <v>2</v>
      </c>
      <c r="P77" s="74">
        <v>6</v>
      </c>
      <c r="Q77" s="74">
        <f>+[8]Abstract!$A62</f>
        <v>6</v>
      </c>
      <c r="R77" s="74">
        <v>4</v>
      </c>
      <c r="S77" s="74">
        <f>+[9]Abstract!$A62</f>
        <v>4</v>
      </c>
      <c r="T77" s="74"/>
      <c r="U77" s="74"/>
      <c r="V77" s="45">
        <f t="shared" si="7"/>
        <v>22</v>
      </c>
      <c r="W77" s="53">
        <f t="shared" si="14"/>
        <v>571098</v>
      </c>
      <c r="X77" s="45">
        <f t="shared" si="16"/>
        <v>22</v>
      </c>
      <c r="Y77" s="53">
        <f t="shared" si="17"/>
        <v>571098</v>
      </c>
      <c r="Z77" s="136">
        <f t="shared" si="18"/>
        <v>0</v>
      </c>
    </row>
    <row r="78" spans="1:27" x14ac:dyDescent="0.25">
      <c r="A78" s="71" t="s">
        <v>16</v>
      </c>
      <c r="B78" s="72">
        <v>250</v>
      </c>
      <c r="C78" s="73" t="s">
        <v>10</v>
      </c>
      <c r="D78" s="138" t="s">
        <v>34</v>
      </c>
      <c r="E78" s="144">
        <v>44962.1</v>
      </c>
      <c r="F78" s="141">
        <v>1</v>
      </c>
      <c r="G78" s="74">
        <f>+[3]Abstract!$A63</f>
        <v>1</v>
      </c>
      <c r="H78" s="154">
        <v>0</v>
      </c>
      <c r="I78" s="157">
        <f>+[4]Abstract!$A62</f>
        <v>0</v>
      </c>
      <c r="J78" s="141">
        <v>3</v>
      </c>
      <c r="K78" s="74">
        <f>+[5]Abstract!$A63</f>
        <v>3</v>
      </c>
      <c r="L78" s="74">
        <v>4</v>
      </c>
      <c r="M78" s="74">
        <f>+[6]Abstract!$A62</f>
        <v>4</v>
      </c>
      <c r="N78" s="74">
        <v>1</v>
      </c>
      <c r="O78" s="74">
        <f>+[7]Abstract!$A63</f>
        <v>1</v>
      </c>
      <c r="P78" s="74">
        <v>2</v>
      </c>
      <c r="Q78" s="74">
        <f>+[8]Abstract!$A63</f>
        <v>2</v>
      </c>
      <c r="R78" s="74">
        <v>1</v>
      </c>
      <c r="S78" s="74">
        <f>+[9]Abstract!$A63</f>
        <v>1</v>
      </c>
      <c r="T78" s="74"/>
      <c r="U78" s="74"/>
      <c r="V78" s="45">
        <f t="shared" si="7"/>
        <v>12</v>
      </c>
      <c r="W78" s="53">
        <f t="shared" si="14"/>
        <v>539545.19999999995</v>
      </c>
      <c r="X78" s="45">
        <f t="shared" si="16"/>
        <v>12</v>
      </c>
      <c r="Y78" s="53">
        <f t="shared" si="17"/>
        <v>539545.19999999995</v>
      </c>
      <c r="Z78" s="136">
        <f t="shared" si="18"/>
        <v>0</v>
      </c>
    </row>
    <row r="79" spans="1:27" x14ac:dyDescent="0.25">
      <c r="A79" s="71" t="s">
        <v>17</v>
      </c>
      <c r="B79" s="72">
        <v>300</v>
      </c>
      <c r="C79" s="73" t="s">
        <v>10</v>
      </c>
      <c r="D79" s="138" t="s">
        <v>34</v>
      </c>
      <c r="E79" s="144">
        <v>59153.75</v>
      </c>
      <c r="F79" s="141">
        <v>0</v>
      </c>
      <c r="G79" s="74">
        <f>+[3]Abstract!$A64</f>
        <v>0</v>
      </c>
      <c r="H79" s="154">
        <v>1</v>
      </c>
      <c r="I79" s="157">
        <f>+[4]Abstract!$A63</f>
        <v>1</v>
      </c>
      <c r="J79" s="141">
        <v>3</v>
      </c>
      <c r="K79" s="74">
        <f>+[5]Abstract!$A64</f>
        <v>3</v>
      </c>
      <c r="L79" s="74">
        <v>0</v>
      </c>
      <c r="M79" s="74">
        <f>+[6]Abstract!$A63</f>
        <v>0</v>
      </c>
      <c r="N79" s="74">
        <v>0</v>
      </c>
      <c r="O79" s="74">
        <f>+[7]Abstract!$A64</f>
        <v>0</v>
      </c>
      <c r="P79" s="74">
        <v>3</v>
      </c>
      <c r="Q79" s="74">
        <f>+[8]Abstract!$A64</f>
        <v>3</v>
      </c>
      <c r="R79" s="74">
        <v>1</v>
      </c>
      <c r="S79" s="74">
        <f>+[9]Abstract!$A64</f>
        <v>1</v>
      </c>
      <c r="T79" s="74"/>
      <c r="U79" s="74"/>
      <c r="V79" s="45">
        <f t="shared" si="7"/>
        <v>8</v>
      </c>
      <c r="W79" s="53">
        <f t="shared" si="14"/>
        <v>473230</v>
      </c>
      <c r="X79" s="45">
        <f t="shared" si="16"/>
        <v>8</v>
      </c>
      <c r="Y79" s="53">
        <f t="shared" si="17"/>
        <v>473230</v>
      </c>
      <c r="Z79" s="136">
        <f t="shared" si="18"/>
        <v>0</v>
      </c>
    </row>
    <row r="80" spans="1:27" x14ac:dyDescent="0.25">
      <c r="A80" s="71" t="s">
        <v>18</v>
      </c>
      <c r="B80" s="72">
        <v>350</v>
      </c>
      <c r="C80" s="73" t="s">
        <v>10</v>
      </c>
      <c r="D80" s="138" t="s">
        <v>34</v>
      </c>
      <c r="E80" s="144">
        <v>75117.75</v>
      </c>
      <c r="F80" s="141">
        <v>1</v>
      </c>
      <c r="G80" s="74">
        <f>+[3]Abstract!$A65</f>
        <v>1</v>
      </c>
      <c r="H80" s="154">
        <v>0</v>
      </c>
      <c r="I80" s="157">
        <f>+[4]Abstract!$A64</f>
        <v>0</v>
      </c>
      <c r="J80" s="141">
        <v>4</v>
      </c>
      <c r="K80" s="74">
        <f>+[5]Abstract!$A65</f>
        <v>4</v>
      </c>
      <c r="L80" s="74">
        <v>0</v>
      </c>
      <c r="M80" s="74">
        <f>+[6]Abstract!$A64</f>
        <v>0</v>
      </c>
      <c r="N80" s="74">
        <v>4</v>
      </c>
      <c r="O80" s="74">
        <f>+[7]Abstract!$A65</f>
        <v>4</v>
      </c>
      <c r="P80" s="74">
        <v>3</v>
      </c>
      <c r="Q80" s="74">
        <f>+[8]Abstract!$A65</f>
        <v>3</v>
      </c>
      <c r="R80" s="74">
        <v>1</v>
      </c>
      <c r="S80" s="74">
        <f>+[9]Abstract!$A65</f>
        <v>1</v>
      </c>
      <c r="T80" s="74"/>
      <c r="U80" s="74"/>
      <c r="V80" s="45">
        <f t="shared" si="7"/>
        <v>13</v>
      </c>
      <c r="W80" s="53">
        <f t="shared" si="14"/>
        <v>976530.75</v>
      </c>
      <c r="X80" s="45">
        <f t="shared" si="16"/>
        <v>13</v>
      </c>
      <c r="Y80" s="53">
        <f t="shared" si="17"/>
        <v>976530.75</v>
      </c>
      <c r="Z80" s="136">
        <f t="shared" si="18"/>
        <v>0</v>
      </c>
    </row>
    <row r="81" spans="1:26" x14ac:dyDescent="0.25">
      <c r="A81" s="71" t="s">
        <v>19</v>
      </c>
      <c r="B81" s="72">
        <v>400</v>
      </c>
      <c r="C81" s="73" t="s">
        <v>10</v>
      </c>
      <c r="D81" s="138" t="s">
        <v>34</v>
      </c>
      <c r="E81" s="144">
        <v>97113.7</v>
      </c>
      <c r="F81" s="141">
        <v>1</v>
      </c>
      <c r="G81" s="74">
        <f>+[3]Abstract!$A66</f>
        <v>1</v>
      </c>
      <c r="H81" s="154">
        <v>0</v>
      </c>
      <c r="I81" s="157">
        <f>+[4]Abstract!$A65</f>
        <v>0</v>
      </c>
      <c r="J81" s="141">
        <v>3</v>
      </c>
      <c r="K81" s="74">
        <f>+[5]Abstract!$A66</f>
        <v>3</v>
      </c>
      <c r="L81" s="74">
        <v>0</v>
      </c>
      <c r="M81" s="74">
        <f>+[6]Abstract!$A65</f>
        <v>0</v>
      </c>
      <c r="N81" s="74">
        <v>1</v>
      </c>
      <c r="O81" s="74">
        <f>+[7]Abstract!$A66</f>
        <v>1</v>
      </c>
      <c r="P81" s="74">
        <v>0</v>
      </c>
      <c r="Q81" s="74">
        <f>+[8]Abstract!$A66</f>
        <v>0</v>
      </c>
      <c r="R81" s="74">
        <v>2</v>
      </c>
      <c r="S81" s="74">
        <f>+[9]Abstract!$A66</f>
        <v>2</v>
      </c>
      <c r="T81" s="74"/>
      <c r="U81" s="74"/>
      <c r="V81" s="45">
        <f t="shared" si="7"/>
        <v>7</v>
      </c>
      <c r="W81" s="53">
        <f t="shared" si="14"/>
        <v>679795.9</v>
      </c>
      <c r="X81" s="45">
        <f t="shared" si="16"/>
        <v>7</v>
      </c>
      <c r="Y81" s="53">
        <f t="shared" si="17"/>
        <v>679795.9</v>
      </c>
      <c r="Z81" s="136">
        <f t="shared" si="18"/>
        <v>0</v>
      </c>
    </row>
    <row r="82" spans="1:26" x14ac:dyDescent="0.25">
      <c r="A82" s="71" t="s">
        <v>20</v>
      </c>
      <c r="B82" s="72">
        <v>450</v>
      </c>
      <c r="C82" s="73" t="s">
        <v>10</v>
      </c>
      <c r="D82" s="138" t="s">
        <v>34</v>
      </c>
      <c r="E82" s="144">
        <v>126066.2</v>
      </c>
      <c r="F82" s="141">
        <v>1</v>
      </c>
      <c r="G82" s="74">
        <f>+[3]Abstract!$A67</f>
        <v>1</v>
      </c>
      <c r="H82" s="154">
        <v>0</v>
      </c>
      <c r="I82" s="157">
        <f>+[4]Abstract!$A66</f>
        <v>0</v>
      </c>
      <c r="J82" s="141">
        <v>5</v>
      </c>
      <c r="K82" s="74">
        <f>+[5]Abstract!$A67</f>
        <v>5</v>
      </c>
      <c r="L82" s="74">
        <v>0</v>
      </c>
      <c r="M82" s="74">
        <f>+[6]Abstract!$A66</f>
        <v>0</v>
      </c>
      <c r="N82" s="74">
        <v>3</v>
      </c>
      <c r="O82" s="74">
        <f>+[7]Abstract!$A67</f>
        <v>3</v>
      </c>
      <c r="P82" s="74">
        <v>0</v>
      </c>
      <c r="Q82" s="74">
        <f>+[8]Abstract!$A67</f>
        <v>0</v>
      </c>
      <c r="R82" s="74">
        <v>1</v>
      </c>
      <c r="S82" s="74">
        <f>+[9]Abstract!$A67</f>
        <v>1</v>
      </c>
      <c r="T82" s="74"/>
      <c r="U82" s="74"/>
      <c r="V82" s="45">
        <f t="shared" si="7"/>
        <v>10</v>
      </c>
      <c r="W82" s="53">
        <f t="shared" si="14"/>
        <v>1260662</v>
      </c>
      <c r="X82" s="45">
        <f t="shared" si="16"/>
        <v>10</v>
      </c>
      <c r="Y82" s="53">
        <f t="shared" si="17"/>
        <v>1260662</v>
      </c>
      <c r="Z82" s="136">
        <f t="shared" si="18"/>
        <v>0</v>
      </c>
    </row>
    <row r="83" spans="1:26" x14ac:dyDescent="0.25">
      <c r="A83" s="71" t="s">
        <v>21</v>
      </c>
      <c r="B83" s="72">
        <v>500</v>
      </c>
      <c r="C83" s="73" t="s">
        <v>10</v>
      </c>
      <c r="D83" s="138" t="s">
        <v>34</v>
      </c>
      <c r="E83" s="144">
        <v>144514.9</v>
      </c>
      <c r="F83" s="141">
        <v>0</v>
      </c>
      <c r="G83" s="74">
        <f>+[3]Abstract!$A68</f>
        <v>0</v>
      </c>
      <c r="H83" s="154">
        <v>0</v>
      </c>
      <c r="I83" s="157">
        <f>+[4]Abstract!$A67</f>
        <v>0</v>
      </c>
      <c r="J83" s="141">
        <v>5</v>
      </c>
      <c r="K83" s="74">
        <f>+[5]Abstract!$A68</f>
        <v>5</v>
      </c>
      <c r="L83" s="74">
        <v>0</v>
      </c>
      <c r="M83" s="74">
        <f>+[6]Abstract!$A67</f>
        <v>0</v>
      </c>
      <c r="N83" s="74">
        <v>0</v>
      </c>
      <c r="O83" s="74">
        <f>+[7]Abstract!$A68</f>
        <v>0</v>
      </c>
      <c r="P83" s="74">
        <v>1</v>
      </c>
      <c r="Q83" s="74">
        <f>+[8]Abstract!$A68</f>
        <v>1</v>
      </c>
      <c r="R83" s="74">
        <v>2</v>
      </c>
      <c r="S83" s="74">
        <f>+[9]Abstract!$A68</f>
        <v>2</v>
      </c>
      <c r="T83" s="74"/>
      <c r="U83" s="74"/>
      <c r="V83" s="45">
        <f t="shared" si="7"/>
        <v>8</v>
      </c>
      <c r="W83" s="53">
        <f t="shared" si="14"/>
        <v>1156119.2</v>
      </c>
      <c r="X83" s="45">
        <f t="shared" si="16"/>
        <v>8</v>
      </c>
      <c r="Y83" s="53">
        <f t="shared" si="17"/>
        <v>1156119.2</v>
      </c>
      <c r="Z83" s="136">
        <f t="shared" si="18"/>
        <v>0</v>
      </c>
    </row>
    <row r="84" spans="1:26" x14ac:dyDescent="0.25">
      <c r="A84" s="71" t="s">
        <v>22</v>
      </c>
      <c r="B84" s="72">
        <v>600</v>
      </c>
      <c r="C84" s="73" t="s">
        <v>10</v>
      </c>
      <c r="D84" s="138" t="s">
        <v>34</v>
      </c>
      <c r="E84" s="144">
        <v>243850.4</v>
      </c>
      <c r="F84" s="141">
        <v>0</v>
      </c>
      <c r="G84" s="74">
        <f>+[3]Abstract!$A69</f>
        <v>0</v>
      </c>
      <c r="H84" s="154">
        <v>0</v>
      </c>
      <c r="I84" s="157">
        <f>+[4]Abstract!$A68</f>
        <v>0</v>
      </c>
      <c r="J84" s="141">
        <v>2</v>
      </c>
      <c r="K84" s="74">
        <f>+[5]Abstract!$A69</f>
        <v>2</v>
      </c>
      <c r="L84" s="74">
        <v>0</v>
      </c>
      <c r="M84" s="74">
        <f>+[6]Abstract!$A68</f>
        <v>0</v>
      </c>
      <c r="N84" s="74">
        <v>0</v>
      </c>
      <c r="O84" s="74">
        <f>+[7]Abstract!$A69</f>
        <v>0</v>
      </c>
      <c r="P84" s="74">
        <v>3</v>
      </c>
      <c r="Q84" s="74">
        <f>+[8]Abstract!$A69</f>
        <v>3</v>
      </c>
      <c r="R84" s="74">
        <v>0</v>
      </c>
      <c r="S84" s="74">
        <f>+[9]Abstract!$A69</f>
        <v>0</v>
      </c>
      <c r="T84" s="74"/>
      <c r="U84" s="74"/>
      <c r="V84" s="45">
        <f t="shared" si="7"/>
        <v>5</v>
      </c>
      <c r="W84" s="53">
        <f t="shared" si="14"/>
        <v>1219252</v>
      </c>
      <c r="X84" s="45">
        <f t="shared" si="16"/>
        <v>5</v>
      </c>
      <c r="Y84" s="53">
        <f t="shared" si="17"/>
        <v>1219252</v>
      </c>
      <c r="Z84" s="136">
        <f t="shared" si="18"/>
        <v>0</v>
      </c>
    </row>
    <row r="85" spans="1:26" x14ac:dyDescent="0.25">
      <c r="A85" s="71" t="s">
        <v>23</v>
      </c>
      <c r="B85" s="72">
        <v>700</v>
      </c>
      <c r="C85" s="73" t="s">
        <v>10</v>
      </c>
      <c r="D85" s="138" t="s">
        <v>34</v>
      </c>
      <c r="E85" s="144">
        <v>388320.75</v>
      </c>
      <c r="F85" s="141">
        <v>0</v>
      </c>
      <c r="G85" s="74">
        <f>+[3]Abstract!$A70</f>
        <v>0</v>
      </c>
      <c r="H85" s="154">
        <v>0</v>
      </c>
      <c r="I85" s="157">
        <f>+[4]Abstract!$A69</f>
        <v>0</v>
      </c>
      <c r="J85" s="141">
        <v>4</v>
      </c>
      <c r="K85" s="74">
        <f>+[5]Abstract!$A70</f>
        <v>4</v>
      </c>
      <c r="L85" s="74">
        <v>0</v>
      </c>
      <c r="M85" s="74">
        <f>+[6]Abstract!$A69</f>
        <v>0</v>
      </c>
      <c r="N85" s="74">
        <v>0</v>
      </c>
      <c r="O85" s="74">
        <f>+[7]Abstract!$A70</f>
        <v>0</v>
      </c>
      <c r="P85" s="74">
        <v>0</v>
      </c>
      <c r="Q85" s="74">
        <f>+[8]Abstract!$A70</f>
        <v>0</v>
      </c>
      <c r="R85" s="74">
        <v>0</v>
      </c>
      <c r="S85" s="74">
        <f>+[9]Abstract!$A70</f>
        <v>0</v>
      </c>
      <c r="T85" s="74"/>
      <c r="U85" s="74"/>
      <c r="V85" s="45">
        <f t="shared" si="7"/>
        <v>4</v>
      </c>
      <c r="W85" s="53">
        <f t="shared" si="14"/>
        <v>1553283</v>
      </c>
      <c r="X85" s="45">
        <f t="shared" si="16"/>
        <v>4</v>
      </c>
      <c r="Y85" s="53">
        <f t="shared" si="17"/>
        <v>1553283</v>
      </c>
      <c r="Z85" s="136">
        <f t="shared" si="18"/>
        <v>0</v>
      </c>
    </row>
    <row r="86" spans="1:26" x14ac:dyDescent="0.25">
      <c r="A86" s="79"/>
      <c r="B86" s="80"/>
      <c r="C86" s="75"/>
      <c r="D86" s="138"/>
      <c r="E86" s="146"/>
      <c r="F86" s="141"/>
      <c r="G86" s="74"/>
      <c r="H86" s="154"/>
      <c r="I86" s="149"/>
      <c r="J86" s="141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45">
        <f t="shared" si="7"/>
        <v>0</v>
      </c>
      <c r="W86" s="53">
        <f t="shared" si="14"/>
        <v>0</v>
      </c>
      <c r="X86" s="45">
        <f t="shared" si="16"/>
        <v>0</v>
      </c>
      <c r="Y86" s="53">
        <f t="shared" si="17"/>
        <v>0</v>
      </c>
      <c r="Z86" s="136">
        <f t="shared" si="18"/>
        <v>0</v>
      </c>
    </row>
    <row r="87" spans="1:26" x14ac:dyDescent="0.25">
      <c r="A87" s="244" t="s">
        <v>108</v>
      </c>
      <c r="B87" s="245"/>
      <c r="C87" s="246"/>
      <c r="D87" s="138" t="s">
        <v>35</v>
      </c>
      <c r="E87" s="144">
        <v>5104.45</v>
      </c>
      <c r="F87" s="141">
        <v>5.6</v>
      </c>
      <c r="G87" s="74">
        <f>+[3]Abstract!$A$76</f>
        <v>5.6</v>
      </c>
      <c r="H87" s="154">
        <v>5.6</v>
      </c>
      <c r="I87" s="117">
        <f>+[4]Abstract!$A$75</f>
        <v>5.6</v>
      </c>
      <c r="J87" s="141">
        <v>5.6</v>
      </c>
      <c r="K87" s="74">
        <f>+[5]Abstract!$A$76</f>
        <v>5.6</v>
      </c>
      <c r="L87" s="74">
        <v>5.6</v>
      </c>
      <c r="M87" s="74">
        <f>+[6]Abstract!$A$75</f>
        <v>5.6</v>
      </c>
      <c r="N87" s="74">
        <v>5.6</v>
      </c>
      <c r="O87" s="74">
        <f>+[7]Abstract!$A$76</f>
        <v>5.6</v>
      </c>
      <c r="P87" s="74">
        <v>5.6</v>
      </c>
      <c r="Q87" s="74">
        <f>+[8]Abstract!$A$76</f>
        <v>5.6</v>
      </c>
      <c r="R87" s="74">
        <v>5.6</v>
      </c>
      <c r="S87" s="74">
        <f>+[9]Abstract!$A76</f>
        <v>5.6</v>
      </c>
      <c r="T87" s="74"/>
      <c r="U87" s="74"/>
      <c r="V87" s="45">
        <f t="shared" si="7"/>
        <v>39.200000000000003</v>
      </c>
      <c r="W87" s="53">
        <f t="shared" si="14"/>
        <v>200094.44</v>
      </c>
      <c r="X87" s="45">
        <f t="shared" si="16"/>
        <v>39.200000000000003</v>
      </c>
      <c r="Y87" s="53">
        <f t="shared" si="17"/>
        <v>200094.44</v>
      </c>
      <c r="Z87" s="136">
        <f t="shared" si="18"/>
        <v>0</v>
      </c>
    </row>
    <row r="88" spans="1:26" ht="43.2" x14ac:dyDescent="0.25">
      <c r="A88" s="266" t="s">
        <v>2</v>
      </c>
      <c r="B88" s="267"/>
      <c r="C88" s="268"/>
      <c r="D88" s="272" t="s">
        <v>3</v>
      </c>
      <c r="E88" s="147"/>
      <c r="F88" s="75" t="s">
        <v>4</v>
      </c>
      <c r="G88" s="73"/>
      <c r="H88" s="2" t="s">
        <v>69</v>
      </c>
      <c r="I88" s="149"/>
      <c r="J88" s="118" t="s">
        <v>63</v>
      </c>
      <c r="K88" s="1"/>
      <c r="L88" s="1" t="s">
        <v>64</v>
      </c>
      <c r="M88" s="1"/>
      <c r="N88" s="76" t="s">
        <v>70</v>
      </c>
      <c r="O88" s="76"/>
      <c r="P88" s="1" t="s">
        <v>71</v>
      </c>
      <c r="Q88" s="1"/>
      <c r="R88" s="76" t="s">
        <v>72</v>
      </c>
      <c r="S88" s="1"/>
      <c r="T88" s="1"/>
      <c r="U88" s="1"/>
      <c r="V88" s="45" t="e">
        <f t="shared" si="7"/>
        <v>#VALUE!</v>
      </c>
      <c r="W88" s="53"/>
      <c r="X88" s="45">
        <f t="shared" si="16"/>
        <v>0</v>
      </c>
      <c r="Y88" s="53">
        <f t="shared" si="17"/>
        <v>0</v>
      </c>
      <c r="Z88" s="136">
        <f t="shared" si="18"/>
        <v>0</v>
      </c>
    </row>
    <row r="89" spans="1:26" x14ac:dyDescent="0.25">
      <c r="A89" s="269"/>
      <c r="B89" s="270"/>
      <c r="C89" s="271"/>
      <c r="D89" s="273"/>
      <c r="E89" s="147"/>
      <c r="F89" s="142" t="s">
        <v>6</v>
      </c>
      <c r="G89" s="33"/>
      <c r="H89" s="138" t="s">
        <v>6</v>
      </c>
      <c r="I89" s="149"/>
      <c r="J89" s="142" t="s">
        <v>6</v>
      </c>
      <c r="K89" s="33"/>
      <c r="L89" s="33" t="s">
        <v>6</v>
      </c>
      <c r="M89" s="33"/>
      <c r="N89" s="33" t="s">
        <v>6</v>
      </c>
      <c r="O89" s="33"/>
      <c r="P89" s="33" t="s">
        <v>6</v>
      </c>
      <c r="Q89" s="33"/>
      <c r="R89" s="33" t="s">
        <v>6</v>
      </c>
      <c r="S89" s="33"/>
      <c r="T89" s="33"/>
      <c r="U89" s="33"/>
      <c r="V89" s="45" t="e">
        <f t="shared" si="7"/>
        <v>#VALUE!</v>
      </c>
      <c r="W89" s="53"/>
      <c r="X89" s="45">
        <f t="shared" si="16"/>
        <v>0</v>
      </c>
      <c r="Y89" s="53">
        <f t="shared" si="17"/>
        <v>0</v>
      </c>
      <c r="Z89" s="136">
        <f t="shared" si="18"/>
        <v>0</v>
      </c>
    </row>
    <row r="90" spans="1:26" x14ac:dyDescent="0.25">
      <c r="A90" s="244" t="s">
        <v>109</v>
      </c>
      <c r="B90" s="245"/>
      <c r="C90" s="246"/>
      <c r="D90" s="138" t="s">
        <v>36</v>
      </c>
      <c r="E90" s="144">
        <v>110.9</v>
      </c>
      <c r="F90" s="141">
        <v>124.95</v>
      </c>
      <c r="G90" s="74">
        <f>+[3]Abstract!$A77</f>
        <v>149.06</v>
      </c>
      <c r="H90" s="154">
        <v>47.61</v>
      </c>
      <c r="I90" s="117">
        <f>+[4]Abstract!$A76</f>
        <v>58.72</v>
      </c>
      <c r="J90" s="141">
        <v>454.04</v>
      </c>
      <c r="K90" s="74">
        <f>+[5]Abstract!$A77</f>
        <v>529.95000000000005</v>
      </c>
      <c r="L90" s="74">
        <v>52.19</v>
      </c>
      <c r="M90" s="74">
        <f>+[6]Abstract!$A76</f>
        <v>77.92</v>
      </c>
      <c r="N90" s="74">
        <v>164.88</v>
      </c>
      <c r="O90" s="74">
        <f>+[7]Abstract!$A77</f>
        <v>222.49</v>
      </c>
      <c r="P90" s="74">
        <v>493.5</v>
      </c>
      <c r="Q90" s="74">
        <f>+[8]Abstract!$A77</f>
        <v>636.46</v>
      </c>
      <c r="R90" s="74">
        <v>133.58000000000001</v>
      </c>
      <c r="S90" s="74">
        <f>+[9]Abstract!$A77</f>
        <v>161.19</v>
      </c>
      <c r="T90" s="74"/>
      <c r="U90" s="74"/>
      <c r="V90" s="45">
        <f t="shared" si="7"/>
        <v>1470.75</v>
      </c>
      <c r="W90" s="53">
        <f t="shared" si="14"/>
        <v>163106.17500000002</v>
      </c>
      <c r="X90" s="45">
        <f t="shared" si="16"/>
        <v>1835.7900000000002</v>
      </c>
      <c r="Y90" s="53">
        <f t="shared" si="17"/>
        <v>203589.11100000003</v>
      </c>
      <c r="Z90" s="136">
        <f t="shared" si="18"/>
        <v>40482.936000000016</v>
      </c>
    </row>
    <row r="91" spans="1:26" x14ac:dyDescent="0.25">
      <c r="A91" s="244" t="s">
        <v>110</v>
      </c>
      <c r="B91" s="245"/>
      <c r="C91" s="246"/>
      <c r="D91" s="138" t="s">
        <v>36</v>
      </c>
      <c r="E91" s="144">
        <v>109.55</v>
      </c>
      <c r="F91" s="141">
        <v>124.95</v>
      </c>
      <c r="G91" s="74">
        <f>+[3]Abstract!$A78</f>
        <v>149.06</v>
      </c>
      <c r="H91" s="154">
        <v>47.61</v>
      </c>
      <c r="I91" s="117">
        <f>+[4]Abstract!$A77</f>
        <v>58.72</v>
      </c>
      <c r="J91" s="141">
        <v>454.04</v>
      </c>
      <c r="K91" s="74">
        <f>+[5]Abstract!$A78</f>
        <v>529.95000000000005</v>
      </c>
      <c r="L91" s="74">
        <v>52.19</v>
      </c>
      <c r="M91" s="74">
        <f>+[6]Abstract!$A77</f>
        <v>77.92</v>
      </c>
      <c r="N91" s="74">
        <v>164.88</v>
      </c>
      <c r="O91" s="74">
        <f>+[7]Abstract!$A78</f>
        <v>222.49</v>
      </c>
      <c r="P91" s="74">
        <v>493.5</v>
      </c>
      <c r="Q91" s="74">
        <f>+[8]Abstract!$A78</f>
        <v>636.46</v>
      </c>
      <c r="R91" s="74">
        <v>133.58000000000001</v>
      </c>
      <c r="S91" s="74">
        <f>+[9]Abstract!$A78</f>
        <v>161.19</v>
      </c>
      <c r="T91" s="74"/>
      <c r="U91" s="74"/>
      <c r="V91" s="45">
        <f t="shared" ref="V91:V139" si="19">R91+P91+N91+L91+J91+H91+F91</f>
        <v>1470.75</v>
      </c>
      <c r="W91" s="53">
        <f t="shared" si="14"/>
        <v>161120.66250000001</v>
      </c>
      <c r="X91" s="45">
        <f t="shared" si="16"/>
        <v>1835.7900000000002</v>
      </c>
      <c r="Y91" s="53">
        <f t="shared" si="17"/>
        <v>201110.79450000002</v>
      </c>
      <c r="Z91" s="136">
        <f t="shared" si="18"/>
        <v>39990.132000000012</v>
      </c>
    </row>
    <row r="92" spans="1:26" x14ac:dyDescent="0.25">
      <c r="A92" s="244" t="s">
        <v>111</v>
      </c>
      <c r="B92" s="245"/>
      <c r="C92" s="246"/>
      <c r="D92" s="138" t="s">
        <v>36</v>
      </c>
      <c r="E92" s="144">
        <v>39.15</v>
      </c>
      <c r="F92" s="141">
        <v>124.95</v>
      </c>
      <c r="G92" s="74">
        <f>+[3]Abstract!$A79</f>
        <v>149.06</v>
      </c>
      <c r="H92" s="154">
        <v>47.61</v>
      </c>
      <c r="I92" s="117">
        <f>+[4]Abstract!$A78</f>
        <v>58.72</v>
      </c>
      <c r="J92" s="141">
        <v>454.04</v>
      </c>
      <c r="K92" s="74">
        <f>+[5]Abstract!$A79</f>
        <v>529.95000000000005</v>
      </c>
      <c r="L92" s="74">
        <v>52.19</v>
      </c>
      <c r="M92" s="74">
        <f>+[6]Abstract!$A78</f>
        <v>77.92</v>
      </c>
      <c r="N92" s="74">
        <v>164.88</v>
      </c>
      <c r="O92" s="74">
        <f>+[7]Abstract!$A79</f>
        <v>222.49</v>
      </c>
      <c r="P92" s="74">
        <v>493.5</v>
      </c>
      <c r="Q92" s="74">
        <f>+[8]Abstract!$A79</f>
        <v>636.46</v>
      </c>
      <c r="R92" s="74">
        <v>133.58000000000001</v>
      </c>
      <c r="S92" s="74">
        <f>+[9]Abstract!$A79</f>
        <v>161.19</v>
      </c>
      <c r="T92" s="74"/>
      <c r="U92" s="74"/>
      <c r="V92" s="45">
        <f t="shared" si="19"/>
        <v>1470.75</v>
      </c>
      <c r="W92" s="53">
        <f t="shared" si="14"/>
        <v>57579.862499999996</v>
      </c>
      <c r="X92" s="45">
        <f t="shared" si="16"/>
        <v>1835.7900000000002</v>
      </c>
      <c r="Y92" s="53">
        <f t="shared" si="17"/>
        <v>71871.178500000009</v>
      </c>
      <c r="Z92" s="136">
        <f t="shared" si="18"/>
        <v>14291.316000000013</v>
      </c>
    </row>
    <row r="93" spans="1:26" x14ac:dyDescent="0.25">
      <c r="A93" s="244" t="s">
        <v>112</v>
      </c>
      <c r="B93" s="245"/>
      <c r="C93" s="246"/>
      <c r="D93" s="2"/>
      <c r="E93" s="145"/>
      <c r="F93" s="118"/>
      <c r="G93" s="1"/>
      <c r="H93" s="2"/>
      <c r="I93" s="149"/>
      <c r="J93" s="11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45">
        <f t="shared" si="19"/>
        <v>0</v>
      </c>
      <c r="W93" s="53">
        <f t="shared" si="14"/>
        <v>0</v>
      </c>
      <c r="X93" s="45">
        <f t="shared" si="16"/>
        <v>0</v>
      </c>
      <c r="Y93" s="53">
        <f t="shared" si="17"/>
        <v>0</v>
      </c>
      <c r="Z93" s="136">
        <f t="shared" si="18"/>
        <v>0</v>
      </c>
    </row>
    <row r="94" spans="1:26" x14ac:dyDescent="0.25">
      <c r="A94" s="260" t="s">
        <v>73</v>
      </c>
      <c r="B94" s="261"/>
      <c r="C94" s="262"/>
      <c r="D94" s="138" t="s">
        <v>37</v>
      </c>
      <c r="E94" s="144">
        <v>13342.9</v>
      </c>
      <c r="F94" s="141">
        <v>1</v>
      </c>
      <c r="G94" s="74">
        <f>+[3]Abstract!$A81</f>
        <v>1</v>
      </c>
      <c r="H94" s="154">
        <v>1</v>
      </c>
      <c r="I94" s="149">
        <v>1</v>
      </c>
      <c r="J94" s="141">
        <v>1</v>
      </c>
      <c r="K94" s="74">
        <v>1</v>
      </c>
      <c r="L94" s="74">
        <v>1</v>
      </c>
      <c r="M94" s="74">
        <f>+[6]Abstract!$A80</f>
        <v>1</v>
      </c>
      <c r="N94" s="74">
        <v>1</v>
      </c>
      <c r="O94" s="74">
        <v>1</v>
      </c>
      <c r="P94" s="74">
        <v>1</v>
      </c>
      <c r="Q94" s="74">
        <v>1</v>
      </c>
      <c r="R94" s="74">
        <v>1</v>
      </c>
      <c r="S94" s="74">
        <f>+[9]Abstract!$A81</f>
        <v>1</v>
      </c>
      <c r="T94" s="74"/>
      <c r="U94" s="74"/>
      <c r="V94" s="45">
        <f t="shared" si="19"/>
        <v>7</v>
      </c>
      <c r="W94" s="53">
        <f t="shared" si="14"/>
        <v>93400.3</v>
      </c>
      <c r="X94" s="45">
        <f t="shared" si="16"/>
        <v>7</v>
      </c>
      <c r="Y94" s="53">
        <f t="shared" si="17"/>
        <v>93400.3</v>
      </c>
      <c r="Z94" s="136">
        <f t="shared" si="18"/>
        <v>0</v>
      </c>
    </row>
    <row r="95" spans="1:26" x14ac:dyDescent="0.25">
      <c r="A95" s="260" t="s">
        <v>74</v>
      </c>
      <c r="B95" s="261"/>
      <c r="C95" s="262"/>
      <c r="D95" s="138" t="s">
        <v>38</v>
      </c>
      <c r="E95" s="144">
        <v>25706.5</v>
      </c>
      <c r="F95" s="141">
        <v>1</v>
      </c>
      <c r="G95" s="74">
        <f>+[3]Abstract!$A82</f>
        <v>1</v>
      </c>
      <c r="H95" s="154">
        <v>1</v>
      </c>
      <c r="I95" s="149">
        <v>1</v>
      </c>
      <c r="J95" s="141">
        <v>1</v>
      </c>
      <c r="K95" s="74">
        <v>1</v>
      </c>
      <c r="L95" s="74">
        <v>1</v>
      </c>
      <c r="M95" s="74">
        <f>+[6]Abstract!$A81</f>
        <v>1</v>
      </c>
      <c r="N95" s="74">
        <v>1</v>
      </c>
      <c r="O95" s="74">
        <v>1</v>
      </c>
      <c r="P95" s="74">
        <v>1</v>
      </c>
      <c r="Q95" s="74">
        <v>1</v>
      </c>
      <c r="R95" s="74">
        <v>1</v>
      </c>
      <c r="S95" s="74">
        <f>+[9]Abstract!$A82</f>
        <v>1</v>
      </c>
      <c r="T95" s="74"/>
      <c r="U95" s="74"/>
      <c r="V95" s="45">
        <f t="shared" si="19"/>
        <v>7</v>
      </c>
      <c r="W95" s="53">
        <f t="shared" si="14"/>
        <v>179945.5</v>
      </c>
      <c r="X95" s="45">
        <f t="shared" si="16"/>
        <v>7</v>
      </c>
      <c r="Y95" s="53">
        <f t="shared" si="17"/>
        <v>179945.5</v>
      </c>
      <c r="Z95" s="136">
        <f t="shared" si="18"/>
        <v>0</v>
      </c>
    </row>
    <row r="96" spans="1:26" x14ac:dyDescent="0.25">
      <c r="A96" s="263" t="s">
        <v>39</v>
      </c>
      <c r="B96" s="264"/>
      <c r="C96" s="265"/>
      <c r="D96" s="138" t="s">
        <v>38</v>
      </c>
      <c r="E96" s="144">
        <v>25706.5</v>
      </c>
      <c r="F96" s="141">
        <v>1</v>
      </c>
      <c r="G96" s="74">
        <f>+[3]Abstract!$A83</f>
        <v>1</v>
      </c>
      <c r="H96" s="154">
        <v>1</v>
      </c>
      <c r="I96" s="149">
        <v>1</v>
      </c>
      <c r="J96" s="141">
        <v>1</v>
      </c>
      <c r="K96" s="74">
        <v>1</v>
      </c>
      <c r="L96" s="74">
        <v>1</v>
      </c>
      <c r="M96" s="74">
        <f>+[6]Abstract!$A82</f>
        <v>1</v>
      </c>
      <c r="N96" s="74">
        <v>1</v>
      </c>
      <c r="O96" s="74">
        <v>1</v>
      </c>
      <c r="P96" s="74">
        <v>1</v>
      </c>
      <c r="Q96" s="74">
        <v>1</v>
      </c>
      <c r="R96" s="74">
        <v>1</v>
      </c>
      <c r="S96" s="74">
        <f>+[9]Abstract!$A83</f>
        <v>1</v>
      </c>
      <c r="T96" s="74"/>
      <c r="U96" s="74"/>
      <c r="V96" s="45">
        <f t="shared" si="19"/>
        <v>7</v>
      </c>
      <c r="W96" s="53">
        <f t="shared" si="14"/>
        <v>179945.5</v>
      </c>
      <c r="X96" s="45">
        <f t="shared" si="16"/>
        <v>7</v>
      </c>
      <c r="Y96" s="53">
        <f t="shared" si="17"/>
        <v>179945.5</v>
      </c>
      <c r="Z96" s="136">
        <f t="shared" si="18"/>
        <v>0</v>
      </c>
    </row>
    <row r="97" spans="1:26" x14ac:dyDescent="0.25">
      <c r="A97" s="254" t="s">
        <v>40</v>
      </c>
      <c r="B97" s="255"/>
      <c r="C97" s="256"/>
      <c r="D97" s="138" t="s">
        <v>41</v>
      </c>
      <c r="E97" s="144">
        <v>169</v>
      </c>
      <c r="F97" s="141">
        <v>249.9</v>
      </c>
      <c r="G97" s="74">
        <f>+[3]Abstract!$A$84</f>
        <v>298.12</v>
      </c>
      <c r="H97" s="154">
        <v>95.22</v>
      </c>
      <c r="I97" s="117">
        <f>+[4]Abstract!$A$83</f>
        <v>117.44</v>
      </c>
      <c r="J97" s="141">
        <v>908.08</v>
      </c>
      <c r="K97" s="74">
        <f>+[5]Abstract!$A$84</f>
        <v>1059.9000000000001</v>
      </c>
      <c r="L97" s="74">
        <v>104.38</v>
      </c>
      <c r="M97" s="74">
        <f>+[6]Abstract!$A$83</f>
        <v>155.84</v>
      </c>
      <c r="N97" s="74">
        <v>329.76</v>
      </c>
      <c r="O97" s="74">
        <f>+[7]Abstract!$A$84</f>
        <v>444.98</v>
      </c>
      <c r="P97" s="74">
        <v>987</v>
      </c>
      <c r="Q97" s="74">
        <f>+[8]Abstract!$A$84</f>
        <v>1272.92</v>
      </c>
      <c r="R97" s="74">
        <v>267.16000000000003</v>
      </c>
      <c r="S97" s="74">
        <f>+[9]Abstract!$A$84</f>
        <v>322.38</v>
      </c>
      <c r="T97" s="74"/>
      <c r="U97" s="74"/>
      <c r="V97" s="45">
        <f t="shared" si="19"/>
        <v>2941.5</v>
      </c>
      <c r="W97" s="53">
        <f t="shared" si="14"/>
        <v>497113.5</v>
      </c>
      <c r="X97" s="45">
        <f t="shared" si="16"/>
        <v>3671.5800000000004</v>
      </c>
      <c r="Y97" s="53">
        <f t="shared" si="17"/>
        <v>620497.02</v>
      </c>
      <c r="Z97" s="136">
        <f t="shared" si="18"/>
        <v>123383.52000000002</v>
      </c>
    </row>
    <row r="98" spans="1:26" x14ac:dyDescent="0.25">
      <c r="A98" s="254" t="s">
        <v>42</v>
      </c>
      <c r="B98" s="255"/>
      <c r="C98" s="256"/>
      <c r="D98" s="2"/>
      <c r="E98" s="145"/>
      <c r="F98" s="118"/>
      <c r="G98" s="1"/>
      <c r="H98" s="2"/>
      <c r="I98" s="149"/>
      <c r="J98" s="11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45">
        <f t="shared" si="19"/>
        <v>0</v>
      </c>
      <c r="W98" s="53">
        <f t="shared" si="14"/>
        <v>0</v>
      </c>
      <c r="X98" s="45">
        <f t="shared" si="16"/>
        <v>0</v>
      </c>
      <c r="Y98" s="53">
        <f t="shared" si="17"/>
        <v>0</v>
      </c>
      <c r="Z98" s="136">
        <f t="shared" si="18"/>
        <v>0</v>
      </c>
    </row>
    <row r="99" spans="1:26" x14ac:dyDescent="0.25">
      <c r="A99" s="33" t="s">
        <v>9</v>
      </c>
      <c r="B99" s="72">
        <v>300</v>
      </c>
      <c r="C99" s="73" t="s">
        <v>10</v>
      </c>
      <c r="D99" s="138" t="s">
        <v>29</v>
      </c>
      <c r="E99" s="144">
        <v>216024</v>
      </c>
      <c r="F99" s="141">
        <v>0</v>
      </c>
      <c r="G99" s="74">
        <f>+[3]Abstract!$A86</f>
        <v>0</v>
      </c>
      <c r="H99" s="154"/>
      <c r="I99" s="149">
        <v>1</v>
      </c>
      <c r="J99" s="141">
        <v>0</v>
      </c>
      <c r="K99" s="74">
        <f>+[5]Abstract!$A86</f>
        <v>0</v>
      </c>
      <c r="L99" s="1"/>
      <c r="M99" s="1"/>
      <c r="N99" s="1"/>
      <c r="O99" s="1"/>
      <c r="P99" s="1"/>
      <c r="Q99" s="1"/>
      <c r="R99" s="1"/>
      <c r="S99" s="74"/>
      <c r="T99" s="74"/>
      <c r="U99" s="74"/>
      <c r="V99" s="45">
        <f t="shared" si="19"/>
        <v>0</v>
      </c>
      <c r="W99" s="53">
        <f t="shared" si="14"/>
        <v>0</v>
      </c>
      <c r="X99" s="45">
        <f t="shared" si="16"/>
        <v>1</v>
      </c>
      <c r="Y99" s="53">
        <f t="shared" si="17"/>
        <v>216024</v>
      </c>
      <c r="Z99" s="136">
        <f t="shared" si="18"/>
        <v>216024</v>
      </c>
    </row>
    <row r="100" spans="1:26" x14ac:dyDescent="0.25">
      <c r="A100" s="33" t="s">
        <v>12</v>
      </c>
      <c r="B100" s="72">
        <v>350</v>
      </c>
      <c r="C100" s="73" t="s">
        <v>10</v>
      </c>
      <c r="D100" s="138" t="s">
        <v>29</v>
      </c>
      <c r="E100" s="144">
        <v>298787</v>
      </c>
      <c r="F100" s="141">
        <v>0</v>
      </c>
      <c r="G100" s="74">
        <f>+[3]Abstract!$A87</f>
        <v>0</v>
      </c>
      <c r="H100" s="2"/>
      <c r="I100" s="149"/>
      <c r="J100" s="141">
        <v>0</v>
      </c>
      <c r="K100" s="74">
        <f>+[5]Abstract!$A87</f>
        <v>0</v>
      </c>
      <c r="L100" s="74">
        <v>1</v>
      </c>
      <c r="M100" s="74">
        <v>1</v>
      </c>
      <c r="N100" s="1"/>
      <c r="O100" s="1"/>
      <c r="P100" s="1"/>
      <c r="Q100" s="1"/>
      <c r="R100" s="1"/>
      <c r="S100" s="1"/>
      <c r="T100" s="1"/>
      <c r="U100" s="1"/>
      <c r="V100" s="45">
        <f t="shared" si="19"/>
        <v>1</v>
      </c>
      <c r="W100" s="53">
        <f t="shared" si="14"/>
        <v>298787</v>
      </c>
      <c r="X100" s="45">
        <f t="shared" si="16"/>
        <v>1</v>
      </c>
      <c r="Y100" s="53">
        <f t="shared" si="17"/>
        <v>298787</v>
      </c>
      <c r="Z100" s="136">
        <f t="shared" si="18"/>
        <v>0</v>
      </c>
    </row>
    <row r="101" spans="1:26" x14ac:dyDescent="0.25">
      <c r="A101" s="33" t="s">
        <v>13</v>
      </c>
      <c r="B101" s="72">
        <v>600</v>
      </c>
      <c r="C101" s="73" t="s">
        <v>10</v>
      </c>
      <c r="D101" s="138" t="s">
        <v>29</v>
      </c>
      <c r="E101" s="144">
        <v>487378</v>
      </c>
      <c r="F101" s="141">
        <v>1</v>
      </c>
      <c r="G101" s="74">
        <f>+[3]Abstract!$A88</f>
        <v>1</v>
      </c>
      <c r="H101" s="2"/>
      <c r="I101" s="149"/>
      <c r="J101" s="141">
        <v>0</v>
      </c>
      <c r="K101" s="74">
        <f>+[5]Abstract!$A88</f>
        <v>0</v>
      </c>
      <c r="L101" s="1"/>
      <c r="M101" s="1"/>
      <c r="N101" s="74">
        <v>1</v>
      </c>
      <c r="O101" s="74">
        <v>1</v>
      </c>
      <c r="P101" s="74">
        <v>0</v>
      </c>
      <c r="Q101" s="74"/>
      <c r="R101" s="1"/>
      <c r="S101" s="1"/>
      <c r="T101" s="1"/>
      <c r="U101" s="1"/>
      <c r="V101" s="45">
        <f t="shared" si="19"/>
        <v>2</v>
      </c>
      <c r="W101" s="53">
        <f t="shared" si="14"/>
        <v>974756</v>
      </c>
      <c r="X101" s="45">
        <f t="shared" si="16"/>
        <v>2</v>
      </c>
      <c r="Y101" s="53">
        <f t="shared" si="17"/>
        <v>974756</v>
      </c>
      <c r="Z101" s="136">
        <f t="shared" si="18"/>
        <v>0</v>
      </c>
    </row>
    <row r="102" spans="1:26" x14ac:dyDescent="0.25">
      <c r="A102" s="33" t="s">
        <v>14</v>
      </c>
      <c r="B102" s="72">
        <v>700</v>
      </c>
      <c r="C102" s="73" t="s">
        <v>10</v>
      </c>
      <c r="D102" s="138" t="s">
        <v>29</v>
      </c>
      <c r="E102" s="144">
        <v>523463</v>
      </c>
      <c r="F102" s="141">
        <v>0</v>
      </c>
      <c r="G102" s="74">
        <f>+[3]Abstract!$A89</f>
        <v>0</v>
      </c>
      <c r="H102" s="2"/>
      <c r="I102" s="149"/>
      <c r="J102" s="141">
        <v>0</v>
      </c>
      <c r="K102" s="74">
        <f>+[5]Abstract!$A89</f>
        <v>0</v>
      </c>
      <c r="L102" s="1"/>
      <c r="M102" s="1"/>
      <c r="N102" s="1"/>
      <c r="O102" s="1"/>
      <c r="P102" s="74">
        <v>0</v>
      </c>
      <c r="Q102" s="74"/>
      <c r="R102" s="74">
        <v>1</v>
      </c>
      <c r="S102" s="1"/>
      <c r="T102" s="1"/>
      <c r="U102" s="1"/>
      <c r="V102" s="45">
        <f t="shared" si="19"/>
        <v>1</v>
      </c>
      <c r="W102" s="53">
        <f t="shared" si="14"/>
        <v>523463</v>
      </c>
      <c r="X102" s="45">
        <f t="shared" si="16"/>
        <v>0</v>
      </c>
      <c r="Y102" s="53">
        <f t="shared" si="17"/>
        <v>0</v>
      </c>
      <c r="Z102" s="136">
        <f t="shared" si="18"/>
        <v>-523463</v>
      </c>
    </row>
    <row r="103" spans="1:26" x14ac:dyDescent="0.25">
      <c r="A103" s="33" t="s">
        <v>15</v>
      </c>
      <c r="B103" s="72">
        <v>900</v>
      </c>
      <c r="C103" s="73" t="s">
        <v>10</v>
      </c>
      <c r="D103" s="138" t="s">
        <v>29</v>
      </c>
      <c r="E103" s="144">
        <v>715824</v>
      </c>
      <c r="F103" s="141">
        <v>0</v>
      </c>
      <c r="G103" s="74">
        <f>+[3]Abstract!$A90</f>
        <v>0</v>
      </c>
      <c r="H103" s="2"/>
      <c r="I103" s="149"/>
      <c r="J103" s="141">
        <v>1</v>
      </c>
      <c r="K103" s="74">
        <f>+[5]Abstract!$A90</f>
        <v>1</v>
      </c>
      <c r="L103" s="1"/>
      <c r="M103" s="1"/>
      <c r="N103" s="1"/>
      <c r="O103" s="1"/>
      <c r="P103" s="74">
        <v>1</v>
      </c>
      <c r="Q103" s="74">
        <v>1</v>
      </c>
      <c r="R103" s="1"/>
      <c r="S103" s="1"/>
      <c r="T103" s="1"/>
      <c r="U103" s="1"/>
      <c r="V103" s="45">
        <f t="shared" si="19"/>
        <v>2</v>
      </c>
      <c r="W103" s="53">
        <f t="shared" si="14"/>
        <v>1431648</v>
      </c>
      <c r="X103" s="45">
        <f t="shared" si="16"/>
        <v>2</v>
      </c>
      <c r="Y103" s="53">
        <f t="shared" si="17"/>
        <v>1431648</v>
      </c>
      <c r="Z103" s="136">
        <f t="shared" si="18"/>
        <v>0</v>
      </c>
    </row>
    <row r="104" spans="1:26" x14ac:dyDescent="0.25">
      <c r="A104" s="138"/>
      <c r="B104" s="80">
        <v>1200</v>
      </c>
      <c r="C104" s="73" t="s">
        <v>10</v>
      </c>
      <c r="D104" s="138" t="s">
        <v>29</v>
      </c>
      <c r="E104" s="144">
        <v>523463.49</v>
      </c>
      <c r="F104" s="141"/>
      <c r="G104" s="74"/>
      <c r="H104" s="154">
        <v>1</v>
      </c>
      <c r="I104" s="149"/>
      <c r="J104" s="141"/>
      <c r="K104" s="74"/>
      <c r="L104" s="1"/>
      <c r="M104" s="1"/>
      <c r="N104" s="1"/>
      <c r="O104" s="1"/>
      <c r="P104" s="74"/>
      <c r="Q104" s="74"/>
      <c r="R104" s="1"/>
      <c r="S104" s="74">
        <v>1</v>
      </c>
      <c r="T104" s="74"/>
      <c r="U104" s="74"/>
      <c r="V104" s="45">
        <f t="shared" si="19"/>
        <v>1</v>
      </c>
      <c r="W104" s="53"/>
      <c r="X104" s="45"/>
      <c r="Y104" s="53"/>
      <c r="Z104" s="136"/>
    </row>
    <row r="105" spans="1:26" x14ac:dyDescent="0.25">
      <c r="A105" s="247" t="s">
        <v>113</v>
      </c>
      <c r="B105" s="248"/>
      <c r="C105" s="249"/>
      <c r="D105" s="138" t="s">
        <v>43</v>
      </c>
      <c r="E105" s="144">
        <v>107.75</v>
      </c>
      <c r="F105" s="141">
        <v>0</v>
      </c>
      <c r="G105" s="74">
        <f>+[3]Abstract!$A$91</f>
        <v>0</v>
      </c>
      <c r="H105" s="154">
        <v>2616.85</v>
      </c>
      <c r="I105" s="117">
        <f>+[4]Abstract!$A$90</f>
        <v>2616.85</v>
      </c>
      <c r="J105" s="141">
        <v>1130.5899999999999</v>
      </c>
      <c r="K105" s="74">
        <f>+[5]Abstract!$A$91</f>
        <v>1130.5900000000001</v>
      </c>
      <c r="L105" s="74">
        <v>2579.8000000000002</v>
      </c>
      <c r="M105" s="74">
        <f>+[6]Abstract!$A$86</f>
        <v>2579.8000000000002</v>
      </c>
      <c r="N105" s="74">
        <v>0</v>
      </c>
      <c r="O105" s="74">
        <v>0</v>
      </c>
      <c r="P105" s="74">
        <v>1106.21</v>
      </c>
      <c r="Q105" s="74">
        <f>+[8]Abstract!$A$87</f>
        <v>1106.21</v>
      </c>
      <c r="R105" s="74">
        <v>0</v>
      </c>
      <c r="S105" s="74">
        <f>+[9]Abstract!$A$87</f>
        <v>0</v>
      </c>
      <c r="T105" s="74"/>
      <c r="U105" s="74"/>
      <c r="V105" s="45">
        <f t="shared" si="19"/>
        <v>7433.4500000000007</v>
      </c>
      <c r="W105" s="53">
        <f t="shared" si="14"/>
        <v>800954.23750000005</v>
      </c>
      <c r="X105" s="45">
        <f>I105+Q105+O105+M105+K105+S105+G105</f>
        <v>7433.4500000000007</v>
      </c>
      <c r="Y105" s="53">
        <f t="shared" si="15"/>
        <v>800954.23750000005</v>
      </c>
      <c r="Z105" s="136">
        <f t="shared" ref="Z105:Z145" si="20">Y105-W105</f>
        <v>0</v>
      </c>
    </row>
    <row r="106" spans="1:26" x14ac:dyDescent="0.25">
      <c r="A106" s="247" t="s">
        <v>114</v>
      </c>
      <c r="B106" s="248"/>
      <c r="C106" s="249"/>
      <c r="D106" s="2"/>
      <c r="E106" s="145"/>
      <c r="F106" s="118"/>
      <c r="G106" s="1"/>
      <c r="H106" s="2"/>
      <c r="I106" s="149"/>
      <c r="J106" s="11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45">
        <f t="shared" si="19"/>
        <v>0</v>
      </c>
      <c r="W106" s="53">
        <f t="shared" si="14"/>
        <v>0</v>
      </c>
      <c r="X106" s="45">
        <f t="shared" ref="X106:X145" si="21">I106+Q106+O106+M106+K106+S106+G106</f>
        <v>0</v>
      </c>
      <c r="Y106" s="53">
        <f t="shared" si="15"/>
        <v>0</v>
      </c>
      <c r="Z106" s="136">
        <f t="shared" si="20"/>
        <v>0</v>
      </c>
    </row>
    <row r="107" spans="1:26" x14ac:dyDescent="0.25">
      <c r="A107" s="33" t="s">
        <v>9</v>
      </c>
      <c r="B107" s="72">
        <v>110</v>
      </c>
      <c r="C107" s="73" t="s">
        <v>10</v>
      </c>
      <c r="D107" s="138" t="s">
        <v>44</v>
      </c>
      <c r="E107" s="144">
        <v>7818.95</v>
      </c>
      <c r="F107" s="141">
        <v>0.88</v>
      </c>
      <c r="G107" s="74">
        <f>+[3]Abstract!$A93</f>
        <v>0</v>
      </c>
      <c r="H107" s="154">
        <v>0</v>
      </c>
      <c r="I107" s="117">
        <f>+[4]Abstract!$A92</f>
        <v>0</v>
      </c>
      <c r="J107" s="141">
        <v>0.21</v>
      </c>
      <c r="K107" s="74">
        <f>+[5]Abstract!$A93</f>
        <v>0</v>
      </c>
      <c r="L107" s="74">
        <v>0</v>
      </c>
      <c r="M107" s="74">
        <f>+[6]Abstract!$A88</f>
        <v>0</v>
      </c>
      <c r="N107" s="74">
        <v>0</v>
      </c>
      <c r="O107" s="74">
        <f>+[7]Abstract!$A89</f>
        <v>0</v>
      </c>
      <c r="P107" s="74">
        <v>0</v>
      </c>
      <c r="Q107" s="74">
        <f>+[8]Abstract!$A89</f>
        <v>0</v>
      </c>
      <c r="R107" s="74">
        <v>0</v>
      </c>
      <c r="S107" s="74">
        <f>+[9]Abstract!$A89</f>
        <v>0</v>
      </c>
      <c r="T107" s="74"/>
      <c r="U107" s="74"/>
      <c r="V107" s="45">
        <f t="shared" si="19"/>
        <v>1.0900000000000001</v>
      </c>
      <c r="W107" s="53">
        <f t="shared" si="14"/>
        <v>8522.6555000000008</v>
      </c>
      <c r="X107" s="45">
        <f t="shared" si="21"/>
        <v>0</v>
      </c>
      <c r="Y107" s="53">
        <f t="shared" si="15"/>
        <v>0</v>
      </c>
      <c r="Z107" s="136">
        <f t="shared" si="20"/>
        <v>-8522.6555000000008</v>
      </c>
    </row>
    <row r="108" spans="1:26" x14ac:dyDescent="0.25">
      <c r="A108" s="33" t="s">
        <v>12</v>
      </c>
      <c r="B108" s="72">
        <v>125</v>
      </c>
      <c r="C108" s="73" t="s">
        <v>10</v>
      </c>
      <c r="D108" s="138" t="s">
        <v>44</v>
      </c>
      <c r="E108" s="144">
        <v>8021.3</v>
      </c>
      <c r="F108" s="141">
        <v>1.54</v>
      </c>
      <c r="G108" s="74">
        <f>+[3]Abstract!$A94</f>
        <v>0</v>
      </c>
      <c r="H108" s="154">
        <v>0</v>
      </c>
      <c r="I108" s="117">
        <f>+[4]Abstract!$A93</f>
        <v>0</v>
      </c>
      <c r="J108" s="141">
        <v>2.2400000000000002</v>
      </c>
      <c r="K108" s="74">
        <f>+[5]Abstract!$A94</f>
        <v>0</v>
      </c>
      <c r="L108" s="74">
        <v>0.86</v>
      </c>
      <c r="M108" s="74">
        <f>+[6]Abstract!$A89</f>
        <v>0.11600000000000001</v>
      </c>
      <c r="N108" s="74">
        <v>0</v>
      </c>
      <c r="O108" s="74">
        <f>+[7]Abstract!$A90</f>
        <v>0</v>
      </c>
      <c r="P108" s="74">
        <v>0</v>
      </c>
      <c r="Q108" s="74">
        <f>+[8]Abstract!$A90</f>
        <v>0</v>
      </c>
      <c r="R108" s="74">
        <v>0</v>
      </c>
      <c r="S108" s="74">
        <f>+[9]Abstract!$A90</f>
        <v>0</v>
      </c>
      <c r="T108" s="74"/>
      <c r="U108" s="74"/>
      <c r="V108" s="45">
        <f t="shared" si="19"/>
        <v>4.6400000000000006</v>
      </c>
      <c r="W108" s="53">
        <f t="shared" ref="W108:W139" si="22">+V108*$E108</f>
        <v>37218.832000000002</v>
      </c>
      <c r="X108" s="45">
        <f t="shared" si="21"/>
        <v>0.11600000000000001</v>
      </c>
      <c r="Y108" s="53">
        <f t="shared" ref="Y108:Y139" si="23">+X108*$E108</f>
        <v>930.47080000000005</v>
      </c>
      <c r="Z108" s="136">
        <f t="shared" si="20"/>
        <v>-36288.361199999999</v>
      </c>
    </row>
    <row r="109" spans="1:26" x14ac:dyDescent="0.25">
      <c r="A109" s="33" t="s">
        <v>13</v>
      </c>
      <c r="B109" s="72">
        <v>140</v>
      </c>
      <c r="C109" s="73" t="s">
        <v>10</v>
      </c>
      <c r="D109" s="138" t="s">
        <v>44</v>
      </c>
      <c r="E109" s="144">
        <v>8643.4</v>
      </c>
      <c r="F109" s="141">
        <v>0.33</v>
      </c>
      <c r="G109" s="74">
        <f>+[3]Abstract!$A95</f>
        <v>1.2912999999999999</v>
      </c>
      <c r="H109" s="154">
        <v>0.48</v>
      </c>
      <c r="I109" s="117">
        <f>+[4]Abstract!$A94</f>
        <v>1.24</v>
      </c>
      <c r="J109" s="141">
        <v>4.7300000000000004</v>
      </c>
      <c r="K109" s="74">
        <f>+[5]Abstract!$A95</f>
        <v>6.1029999999999998</v>
      </c>
      <c r="L109" s="74">
        <v>0.45</v>
      </c>
      <c r="M109" s="74">
        <f>+[6]Abstract!$A90</f>
        <v>0.82899999999999996</v>
      </c>
      <c r="N109" s="74">
        <v>3.21</v>
      </c>
      <c r="O109" s="74">
        <f>+[7]Abstract!$A91</f>
        <v>2.6890000000000001</v>
      </c>
      <c r="P109" s="74">
        <v>6.66</v>
      </c>
      <c r="Q109" s="74">
        <f>+[8]Abstract!$A91</f>
        <v>7.21</v>
      </c>
      <c r="R109" s="74">
        <v>0.59</v>
      </c>
      <c r="S109" s="74">
        <f>+[9]Abstract!$A91</f>
        <v>1.827</v>
      </c>
      <c r="T109" s="74"/>
      <c r="U109" s="74"/>
      <c r="V109" s="45">
        <f t="shared" si="19"/>
        <v>16.45</v>
      </c>
      <c r="W109" s="53">
        <f t="shared" si="22"/>
        <v>142183.93</v>
      </c>
      <c r="X109" s="45">
        <f t="shared" si="21"/>
        <v>21.189299999999996</v>
      </c>
      <c r="Y109" s="53">
        <f t="shared" si="23"/>
        <v>183147.59561999995</v>
      </c>
      <c r="Z109" s="136">
        <f t="shared" si="20"/>
        <v>40963.665619999956</v>
      </c>
    </row>
    <row r="110" spans="1:26" x14ac:dyDescent="0.25">
      <c r="A110" s="33" t="s">
        <v>14</v>
      </c>
      <c r="B110" s="72">
        <v>160</v>
      </c>
      <c r="C110" s="73" t="s">
        <v>10</v>
      </c>
      <c r="D110" s="138" t="s">
        <v>44</v>
      </c>
      <c r="E110" s="144">
        <v>8976.2999999999993</v>
      </c>
      <c r="F110" s="141">
        <v>0.66</v>
      </c>
      <c r="G110" s="74">
        <f>+[3]Abstract!$A96</f>
        <v>0.17269000000000001</v>
      </c>
      <c r="H110" s="154">
        <v>0.89</v>
      </c>
      <c r="I110" s="117">
        <f>+[4]Abstract!$A95</f>
        <v>0</v>
      </c>
      <c r="J110" s="141">
        <v>0.78</v>
      </c>
      <c r="K110" s="74">
        <f>+[5]Abstract!$A96</f>
        <v>1.2569999999999999</v>
      </c>
      <c r="L110" s="74">
        <v>0</v>
      </c>
      <c r="M110" s="74">
        <f>+[6]Abstract!$A91</f>
        <v>0.64200000000000002</v>
      </c>
      <c r="N110" s="74">
        <v>0.94</v>
      </c>
      <c r="O110" s="74">
        <f>+[7]Abstract!$A92</f>
        <v>0.76600000000000001</v>
      </c>
      <c r="P110" s="74">
        <v>0.59</v>
      </c>
      <c r="Q110" s="74">
        <f>+[8]Abstract!$A92</f>
        <v>1.36</v>
      </c>
      <c r="R110" s="74">
        <v>1.32</v>
      </c>
      <c r="S110" s="74">
        <f>+[9]Abstract!$A92</f>
        <v>0.86599999999999999</v>
      </c>
      <c r="T110" s="74"/>
      <c r="U110" s="74"/>
      <c r="V110" s="45">
        <f t="shared" si="19"/>
        <v>5.18</v>
      </c>
      <c r="W110" s="53">
        <f t="shared" si="22"/>
        <v>46497.233999999997</v>
      </c>
      <c r="X110" s="45">
        <f t="shared" si="21"/>
        <v>5.0636900000000002</v>
      </c>
      <c r="Y110" s="53">
        <f t="shared" si="23"/>
        <v>45453.200547</v>
      </c>
      <c r="Z110" s="136">
        <f t="shared" si="20"/>
        <v>-1044.0334529999964</v>
      </c>
    </row>
    <row r="111" spans="1:26" x14ac:dyDescent="0.25">
      <c r="A111" s="33" t="s">
        <v>15</v>
      </c>
      <c r="B111" s="72">
        <v>180</v>
      </c>
      <c r="C111" s="73" t="s">
        <v>10</v>
      </c>
      <c r="D111" s="138" t="s">
        <v>44</v>
      </c>
      <c r="E111" s="144">
        <v>9348.1</v>
      </c>
      <c r="F111" s="141">
        <v>1.04</v>
      </c>
      <c r="G111" s="74">
        <f>+[3]Abstract!$A97</f>
        <v>1.0670200000000001</v>
      </c>
      <c r="H111" s="154">
        <v>0.47</v>
      </c>
      <c r="I111" s="117">
        <f>+[4]Abstract!$A96</f>
        <v>0.36</v>
      </c>
      <c r="J111" s="141">
        <v>0.99</v>
      </c>
      <c r="K111" s="74">
        <f>+[5]Abstract!$A97</f>
        <v>1.4750000000000001</v>
      </c>
      <c r="L111" s="74">
        <v>0.32</v>
      </c>
      <c r="M111" s="74">
        <f>+[6]Abstract!$A92</f>
        <v>0</v>
      </c>
      <c r="N111" s="74">
        <v>0.35</v>
      </c>
      <c r="O111" s="74">
        <f>+[7]Abstract!$A93</f>
        <v>0.22700000000000001</v>
      </c>
      <c r="P111" s="74">
        <v>0.53</v>
      </c>
      <c r="Q111" s="74">
        <f>+[8]Abstract!$A93</f>
        <v>2.0099999999999998</v>
      </c>
      <c r="R111" s="74">
        <v>0.11</v>
      </c>
      <c r="S111" s="74">
        <f>+[9]Abstract!$A93</f>
        <v>0.2</v>
      </c>
      <c r="T111" s="74"/>
      <c r="U111" s="74"/>
      <c r="V111" s="45">
        <f t="shared" si="19"/>
        <v>3.8099999999999996</v>
      </c>
      <c r="W111" s="53">
        <f t="shared" si="22"/>
        <v>35616.260999999999</v>
      </c>
      <c r="X111" s="45">
        <f t="shared" si="21"/>
        <v>5.3390199999999997</v>
      </c>
      <c r="Y111" s="53">
        <f t="shared" si="23"/>
        <v>49909.692861999996</v>
      </c>
      <c r="Z111" s="136">
        <f t="shared" si="20"/>
        <v>14293.431861999998</v>
      </c>
    </row>
    <row r="112" spans="1:26" x14ac:dyDescent="0.25">
      <c r="A112" s="33" t="s">
        <v>16</v>
      </c>
      <c r="B112" s="72">
        <v>200</v>
      </c>
      <c r="C112" s="73" t="s">
        <v>10</v>
      </c>
      <c r="D112" s="138" t="s">
        <v>44</v>
      </c>
      <c r="E112" s="144">
        <v>9758.65</v>
      </c>
      <c r="F112" s="141">
        <v>0.84</v>
      </c>
      <c r="G112" s="74">
        <f>+[3]Abstract!$A98</f>
        <v>0.17085</v>
      </c>
      <c r="H112" s="154">
        <v>0</v>
      </c>
      <c r="I112" s="117">
        <f>+[4]Abstract!$A97</f>
        <v>0</v>
      </c>
      <c r="J112" s="141">
        <v>0</v>
      </c>
      <c r="K112" s="74">
        <f>+[5]Abstract!$A98</f>
        <v>0.372</v>
      </c>
      <c r="L112" s="74">
        <v>0</v>
      </c>
      <c r="M112" s="74">
        <f>+[6]Abstract!$A93</f>
        <v>9.4E-2</v>
      </c>
      <c r="N112" s="74">
        <v>0.28999999999999998</v>
      </c>
      <c r="O112" s="74">
        <f>+[7]Abstract!$A94</f>
        <v>1.252</v>
      </c>
      <c r="P112" s="74">
        <v>0.59</v>
      </c>
      <c r="Q112" s="74">
        <f>+[8]Abstract!$A94</f>
        <v>1.02</v>
      </c>
      <c r="R112" s="74">
        <v>0.17</v>
      </c>
      <c r="S112" s="74">
        <f>+[9]Abstract!$A94</f>
        <v>0.46100000000000002</v>
      </c>
      <c r="T112" s="74"/>
      <c r="U112" s="74"/>
      <c r="V112" s="45">
        <f t="shared" si="19"/>
        <v>1.8900000000000001</v>
      </c>
      <c r="W112" s="53">
        <f t="shared" si="22"/>
        <v>18443.8485</v>
      </c>
      <c r="X112" s="45">
        <f t="shared" si="21"/>
        <v>3.36985</v>
      </c>
      <c r="Y112" s="53">
        <f t="shared" si="23"/>
        <v>32885.186702499996</v>
      </c>
      <c r="Z112" s="136">
        <f t="shared" si="20"/>
        <v>14441.338202499996</v>
      </c>
    </row>
    <row r="113" spans="1:26" x14ac:dyDescent="0.25">
      <c r="A113" s="33" t="s">
        <v>17</v>
      </c>
      <c r="B113" s="72">
        <v>225</v>
      </c>
      <c r="C113" s="73" t="s">
        <v>10</v>
      </c>
      <c r="D113" s="138" t="s">
        <v>44</v>
      </c>
      <c r="E113" s="144">
        <v>10326.549999999999</v>
      </c>
      <c r="F113" s="141">
        <v>0.26</v>
      </c>
      <c r="G113" s="74">
        <f>+[3]Abstract!$A99</f>
        <v>0.11434999999999999</v>
      </c>
      <c r="H113" s="154">
        <v>0</v>
      </c>
      <c r="I113" s="117">
        <f>+[4]Abstract!$A98</f>
        <v>0.09</v>
      </c>
      <c r="J113" s="141">
        <v>0.48</v>
      </c>
      <c r="K113" s="74">
        <f>+[5]Abstract!$A99</f>
        <v>1.147</v>
      </c>
      <c r="L113" s="74">
        <v>0</v>
      </c>
      <c r="M113" s="74">
        <f>+[6]Abstract!$A94</f>
        <v>0</v>
      </c>
      <c r="N113" s="74">
        <v>0</v>
      </c>
      <c r="O113" s="74">
        <f>+[7]Abstract!$A95</f>
        <v>0.50600000000000001</v>
      </c>
      <c r="P113" s="74">
        <v>1.27</v>
      </c>
      <c r="Q113" s="74">
        <f>+[8]Abstract!$A95</f>
        <v>1.27</v>
      </c>
      <c r="R113" s="74">
        <v>0.82</v>
      </c>
      <c r="S113" s="74">
        <f>+[9]Abstract!$A95</f>
        <v>0</v>
      </c>
      <c r="T113" s="74"/>
      <c r="U113" s="74"/>
      <c r="V113" s="45">
        <f t="shared" si="19"/>
        <v>2.83</v>
      </c>
      <c r="W113" s="53">
        <f t="shared" si="22"/>
        <v>29224.136499999997</v>
      </c>
      <c r="X113" s="45">
        <f t="shared" si="21"/>
        <v>3.1273499999999999</v>
      </c>
      <c r="Y113" s="53">
        <f t="shared" si="23"/>
        <v>32294.736142499994</v>
      </c>
      <c r="Z113" s="136">
        <f t="shared" si="20"/>
        <v>3070.5996424999976</v>
      </c>
    </row>
    <row r="114" spans="1:26" x14ac:dyDescent="0.25">
      <c r="A114" s="33" t="s">
        <v>18</v>
      </c>
      <c r="B114" s="72">
        <v>250</v>
      </c>
      <c r="C114" s="73" t="s">
        <v>10</v>
      </c>
      <c r="D114" s="138" t="s">
        <v>44</v>
      </c>
      <c r="E114" s="144">
        <v>10955.1</v>
      </c>
      <c r="F114" s="141">
        <v>0.18</v>
      </c>
      <c r="G114" s="74">
        <f>+[3]Abstract!$A100</f>
        <v>0.98566999999999994</v>
      </c>
      <c r="H114" s="154">
        <v>0</v>
      </c>
      <c r="I114" s="117">
        <f>+[4]Abstract!$A99</f>
        <v>0.47</v>
      </c>
      <c r="J114" s="141">
        <v>0.13</v>
      </c>
      <c r="K114" s="74">
        <f>+[5]Abstract!$A100</f>
        <v>0.21199999999999999</v>
      </c>
      <c r="L114" s="74">
        <v>0.22</v>
      </c>
      <c r="M114" s="74">
        <f>+[6]Abstract!$A95</f>
        <v>0.21099999999999999</v>
      </c>
      <c r="N114" s="74">
        <v>0</v>
      </c>
      <c r="O114" s="74">
        <f>+[7]Abstract!$A96</f>
        <v>0.315</v>
      </c>
      <c r="P114" s="74">
        <v>0.86</v>
      </c>
      <c r="Q114" s="74">
        <f>+[8]Abstract!$A96</f>
        <v>0.41</v>
      </c>
      <c r="R114" s="74">
        <v>0.14000000000000001</v>
      </c>
      <c r="S114" s="74">
        <f>+[9]Abstract!$A96</f>
        <v>0.29899999999999999</v>
      </c>
      <c r="T114" s="74"/>
      <c r="U114" s="74"/>
      <c r="V114" s="45">
        <f t="shared" si="19"/>
        <v>1.53</v>
      </c>
      <c r="W114" s="53">
        <f t="shared" si="22"/>
        <v>16761.303</v>
      </c>
      <c r="X114" s="45">
        <f t="shared" si="21"/>
        <v>2.9026699999999996</v>
      </c>
      <c r="Y114" s="53">
        <f t="shared" si="23"/>
        <v>31799.040116999997</v>
      </c>
      <c r="Z114" s="136">
        <f t="shared" si="20"/>
        <v>15037.737116999997</v>
      </c>
    </row>
    <row r="115" spans="1:26" x14ac:dyDescent="0.25">
      <c r="A115" s="33" t="s">
        <v>19</v>
      </c>
      <c r="B115" s="72">
        <v>280</v>
      </c>
      <c r="C115" s="73" t="s">
        <v>10</v>
      </c>
      <c r="D115" s="138" t="s">
        <v>44</v>
      </c>
      <c r="E115" s="144">
        <v>11789.45</v>
      </c>
      <c r="F115" s="141">
        <v>0.23</v>
      </c>
      <c r="G115" s="74">
        <f>+[3]Abstract!$A101</f>
        <v>0.15609000000000001</v>
      </c>
      <c r="H115" s="154">
        <v>0.31</v>
      </c>
      <c r="I115" s="117">
        <f>+[4]Abstract!$A100</f>
        <v>0.31</v>
      </c>
      <c r="J115" s="141">
        <v>0.44</v>
      </c>
      <c r="K115" s="74">
        <f>+[5]Abstract!$A101</f>
        <v>0.38800000000000001</v>
      </c>
      <c r="L115" s="74">
        <v>0.14000000000000001</v>
      </c>
      <c r="M115" s="74">
        <f>+[6]Abstract!$A96</f>
        <v>0.23200000000000001</v>
      </c>
      <c r="N115" s="74">
        <v>0.24</v>
      </c>
      <c r="O115" s="74">
        <f>+[7]Abstract!$A97</f>
        <v>0.22600000000000001</v>
      </c>
      <c r="P115" s="74">
        <v>1.04</v>
      </c>
      <c r="Q115" s="74">
        <f>+[8]Abstract!$A97</f>
        <v>0.71</v>
      </c>
      <c r="R115" s="74">
        <v>0</v>
      </c>
      <c r="S115" s="74">
        <f>+[9]Abstract!$A97</f>
        <v>0.23699999999999999</v>
      </c>
      <c r="T115" s="74"/>
      <c r="U115" s="74"/>
      <c r="V115" s="45">
        <f t="shared" si="19"/>
        <v>2.4</v>
      </c>
      <c r="W115" s="53">
        <f t="shared" si="22"/>
        <v>28294.68</v>
      </c>
      <c r="X115" s="45">
        <f t="shared" si="21"/>
        <v>2.25909</v>
      </c>
      <c r="Y115" s="53">
        <f t="shared" si="23"/>
        <v>26633.428600500003</v>
      </c>
      <c r="Z115" s="136">
        <f t="shared" si="20"/>
        <v>-1661.2513994999972</v>
      </c>
    </row>
    <row r="116" spans="1:26" x14ac:dyDescent="0.25">
      <c r="A116" s="33" t="s">
        <v>20</v>
      </c>
      <c r="B116" s="72">
        <v>315</v>
      </c>
      <c r="C116" s="73" t="s">
        <v>10</v>
      </c>
      <c r="D116" s="138" t="s">
        <v>44</v>
      </c>
      <c r="E116" s="144">
        <v>13646.9</v>
      </c>
      <c r="F116" s="141">
        <v>0</v>
      </c>
      <c r="G116" s="74">
        <f>+[3]Abstract!$A102</f>
        <v>0</v>
      </c>
      <c r="H116" s="154">
        <v>0</v>
      </c>
      <c r="I116" s="117">
        <f>+[4]Abstract!$A101</f>
        <v>0</v>
      </c>
      <c r="J116" s="141">
        <v>0.35</v>
      </c>
      <c r="K116" s="74">
        <f>+[5]Abstract!$A102</f>
        <v>0.30199999999999999</v>
      </c>
      <c r="L116" s="74">
        <v>0.61</v>
      </c>
      <c r="M116" s="74">
        <f>+[6]Abstract!$A97</f>
        <v>0.16800000000000001</v>
      </c>
      <c r="N116" s="74">
        <v>0</v>
      </c>
      <c r="O116" s="74">
        <f>+[7]Abstract!$A98</f>
        <v>0</v>
      </c>
      <c r="P116" s="74">
        <v>1.43</v>
      </c>
      <c r="Q116" s="74">
        <f>+[8]Abstract!$A98</f>
        <v>1.4</v>
      </c>
      <c r="R116" s="74">
        <v>0.12</v>
      </c>
      <c r="S116" s="74">
        <f>+[9]Abstract!$A98</f>
        <v>0</v>
      </c>
      <c r="T116" s="74"/>
      <c r="U116" s="74"/>
      <c r="V116" s="45">
        <f t="shared" si="19"/>
        <v>2.5099999999999998</v>
      </c>
      <c r="W116" s="53">
        <f t="shared" si="22"/>
        <v>34253.718999999997</v>
      </c>
      <c r="X116" s="45">
        <f t="shared" si="21"/>
        <v>1.8699999999999999</v>
      </c>
      <c r="Y116" s="53">
        <f t="shared" si="23"/>
        <v>25519.702999999998</v>
      </c>
      <c r="Z116" s="136">
        <f t="shared" si="20"/>
        <v>-8734.0159999999996</v>
      </c>
    </row>
    <row r="117" spans="1:26" x14ac:dyDescent="0.25">
      <c r="A117" s="33" t="s">
        <v>21</v>
      </c>
      <c r="B117" s="72">
        <v>355</v>
      </c>
      <c r="C117" s="73" t="s">
        <v>10</v>
      </c>
      <c r="D117" s="138" t="s">
        <v>44</v>
      </c>
      <c r="E117" s="144">
        <v>16566.25</v>
      </c>
      <c r="F117" s="141">
        <v>0.38</v>
      </c>
      <c r="G117" s="74">
        <f>+[3]Abstract!$A103</f>
        <v>0.23</v>
      </c>
      <c r="H117" s="154">
        <v>0</v>
      </c>
      <c r="I117" s="117">
        <f>+[4]Abstract!$A102</f>
        <v>0</v>
      </c>
      <c r="J117" s="141">
        <v>0.56000000000000005</v>
      </c>
      <c r="K117" s="74">
        <f>+[5]Abstract!$A103</f>
        <v>0.9</v>
      </c>
      <c r="L117" s="74">
        <v>0.88</v>
      </c>
      <c r="M117" s="74">
        <f>+[6]Abstract!$A98</f>
        <v>1.1200000000000001</v>
      </c>
      <c r="N117" s="74">
        <v>0.14000000000000001</v>
      </c>
      <c r="O117" s="74">
        <f>+[7]Abstract!$A99</f>
        <v>0.33</v>
      </c>
      <c r="P117" s="74">
        <v>0.24</v>
      </c>
      <c r="Q117" s="74">
        <f>+[8]Abstract!$A99</f>
        <v>2.41</v>
      </c>
      <c r="R117" s="74">
        <v>0</v>
      </c>
      <c r="S117" s="74">
        <f>+[9]Abstract!$A99</f>
        <v>0</v>
      </c>
      <c r="T117" s="74"/>
      <c r="U117" s="74"/>
      <c r="V117" s="45">
        <f t="shared" si="19"/>
        <v>2.2000000000000002</v>
      </c>
      <c r="W117" s="53">
        <f t="shared" si="22"/>
        <v>36445.75</v>
      </c>
      <c r="X117" s="45">
        <f t="shared" si="21"/>
        <v>4.9900000000000011</v>
      </c>
      <c r="Y117" s="53">
        <f t="shared" si="23"/>
        <v>82665.587500000023</v>
      </c>
      <c r="Z117" s="136">
        <f t="shared" si="20"/>
        <v>46219.837500000023</v>
      </c>
    </row>
    <row r="118" spans="1:26" x14ac:dyDescent="0.25">
      <c r="A118" s="33" t="s">
        <v>22</v>
      </c>
      <c r="B118" s="72">
        <v>400</v>
      </c>
      <c r="C118" s="73" t="s">
        <v>10</v>
      </c>
      <c r="D118" s="138" t="s">
        <v>44</v>
      </c>
      <c r="E118" s="144">
        <v>20106.25</v>
      </c>
      <c r="F118" s="141">
        <v>0</v>
      </c>
      <c r="G118" s="74">
        <f>+[3]Abstract!$A104</f>
        <v>0</v>
      </c>
      <c r="H118" s="154">
        <v>0</v>
      </c>
      <c r="I118" s="117">
        <f>+[4]Abstract!$A103</f>
        <v>0</v>
      </c>
      <c r="J118" s="141">
        <v>0.91</v>
      </c>
      <c r="K118" s="74">
        <f>+[5]Abstract!$A104</f>
        <v>0</v>
      </c>
      <c r="L118" s="74">
        <v>0</v>
      </c>
      <c r="M118" s="74">
        <f>+[6]Abstract!$A99</f>
        <v>0</v>
      </c>
      <c r="N118" s="74">
        <v>0.13</v>
      </c>
      <c r="O118" s="74">
        <f>+[7]Abstract!$A100</f>
        <v>0.27</v>
      </c>
      <c r="P118" s="74">
        <v>0.55000000000000004</v>
      </c>
      <c r="Q118" s="74">
        <f>+[8]Abstract!$A100</f>
        <v>0.39</v>
      </c>
      <c r="R118" s="74">
        <v>0.48</v>
      </c>
      <c r="S118" s="74">
        <f>+[9]Abstract!$A100</f>
        <v>0</v>
      </c>
      <c r="T118" s="74"/>
      <c r="U118" s="74"/>
      <c r="V118" s="45">
        <f t="shared" si="19"/>
        <v>2.0700000000000003</v>
      </c>
      <c r="W118" s="53">
        <f t="shared" si="22"/>
        <v>41619.937500000007</v>
      </c>
      <c r="X118" s="45">
        <f t="shared" si="21"/>
        <v>0.66</v>
      </c>
      <c r="Y118" s="53">
        <f t="shared" si="23"/>
        <v>13270.125</v>
      </c>
      <c r="Z118" s="136">
        <f t="shared" si="20"/>
        <v>-28349.812500000007</v>
      </c>
    </row>
    <row r="119" spans="1:26" x14ac:dyDescent="0.25">
      <c r="A119" s="33" t="s">
        <v>23</v>
      </c>
      <c r="B119" s="72">
        <v>450</v>
      </c>
      <c r="C119" s="73" t="s">
        <v>10</v>
      </c>
      <c r="D119" s="138" t="s">
        <v>44</v>
      </c>
      <c r="E119" s="144">
        <v>23986.05</v>
      </c>
      <c r="F119" s="141">
        <v>0</v>
      </c>
      <c r="G119" s="74">
        <f>+[3]Abstract!$A105</f>
        <v>0.5</v>
      </c>
      <c r="H119" s="154">
        <v>0</v>
      </c>
      <c r="I119" s="117">
        <f>+[4]Abstract!$A104</f>
        <v>0</v>
      </c>
      <c r="J119" s="141">
        <v>0</v>
      </c>
      <c r="K119" s="74">
        <f>+[5]Abstract!$A105</f>
        <v>0.44</v>
      </c>
      <c r="L119" s="74">
        <v>0</v>
      </c>
      <c r="M119" s="74">
        <f>+[6]Abstract!$A100</f>
        <v>0</v>
      </c>
      <c r="N119" s="74">
        <v>0.33</v>
      </c>
      <c r="O119" s="74">
        <f>+[7]Abstract!$A101</f>
        <v>0</v>
      </c>
      <c r="P119" s="74">
        <v>1.01</v>
      </c>
      <c r="Q119" s="74">
        <f>+[8]Abstract!$A101</f>
        <v>0.21</v>
      </c>
      <c r="R119" s="74">
        <v>0</v>
      </c>
      <c r="S119" s="74">
        <f>+[9]Abstract!$A101</f>
        <v>0.31</v>
      </c>
      <c r="T119" s="74"/>
      <c r="U119" s="74"/>
      <c r="V119" s="45">
        <f t="shared" si="19"/>
        <v>1.34</v>
      </c>
      <c r="W119" s="53">
        <f t="shared" si="22"/>
        <v>32141.307000000001</v>
      </c>
      <c r="X119" s="45">
        <f t="shared" si="21"/>
        <v>1.46</v>
      </c>
      <c r="Y119" s="53">
        <f t="shared" si="23"/>
        <v>35019.633000000002</v>
      </c>
      <c r="Z119" s="136">
        <f t="shared" si="20"/>
        <v>2878.3260000000009</v>
      </c>
    </row>
    <row r="120" spans="1:26" x14ac:dyDescent="0.25">
      <c r="A120" s="33" t="s">
        <v>24</v>
      </c>
      <c r="B120" s="72">
        <v>500</v>
      </c>
      <c r="C120" s="73" t="s">
        <v>10</v>
      </c>
      <c r="D120" s="138" t="s">
        <v>44</v>
      </c>
      <c r="E120" s="144">
        <v>28108.55</v>
      </c>
      <c r="F120" s="141">
        <v>0.94</v>
      </c>
      <c r="G120" s="74">
        <f>+[3]Abstract!$A106</f>
        <v>0.16</v>
      </c>
      <c r="H120" s="154">
        <v>0</v>
      </c>
      <c r="I120" s="117">
        <f>+[4]Abstract!$A105</f>
        <v>0</v>
      </c>
      <c r="J120" s="141">
        <v>0.92</v>
      </c>
      <c r="K120" s="74">
        <f>+[5]Abstract!$A106</f>
        <v>0.75</v>
      </c>
      <c r="L120" s="74">
        <v>0</v>
      </c>
      <c r="M120" s="74">
        <f>+[6]Abstract!$A101</f>
        <v>0</v>
      </c>
      <c r="N120" s="74">
        <v>0</v>
      </c>
      <c r="O120" s="74">
        <f>+[7]Abstract!$A102</f>
        <v>0.25</v>
      </c>
      <c r="P120" s="74">
        <v>1.53</v>
      </c>
      <c r="Q120" s="74">
        <f>+[8]Abstract!$A102</f>
        <v>0.38</v>
      </c>
      <c r="R120" s="74">
        <v>0.28999999999999998</v>
      </c>
      <c r="S120" s="74">
        <f>+[9]Abstract!$A102</f>
        <v>0.63</v>
      </c>
      <c r="T120" s="74"/>
      <c r="U120" s="74"/>
      <c r="V120" s="45">
        <f t="shared" si="19"/>
        <v>3.68</v>
      </c>
      <c r="W120" s="53">
        <f t="shared" si="22"/>
        <v>103439.46400000001</v>
      </c>
      <c r="X120" s="45">
        <f t="shared" si="21"/>
        <v>2.17</v>
      </c>
      <c r="Y120" s="53">
        <f t="shared" si="23"/>
        <v>60995.553499999995</v>
      </c>
      <c r="Z120" s="136">
        <f t="shared" si="20"/>
        <v>-42443.910500000013</v>
      </c>
    </row>
    <row r="121" spans="1:26" x14ac:dyDescent="0.25">
      <c r="A121" s="33" t="s">
        <v>25</v>
      </c>
      <c r="B121" s="72">
        <v>560</v>
      </c>
      <c r="C121" s="73" t="s">
        <v>10</v>
      </c>
      <c r="D121" s="138" t="s">
        <v>44</v>
      </c>
      <c r="E121" s="144">
        <v>31320.85</v>
      </c>
      <c r="F121" s="141">
        <v>0</v>
      </c>
      <c r="G121" s="74">
        <f>+[3]Abstract!$A107</f>
        <v>1.37</v>
      </c>
      <c r="H121" s="154">
        <v>0</v>
      </c>
      <c r="I121" s="117">
        <f>+[4]Abstract!$A106</f>
        <v>0</v>
      </c>
      <c r="J121" s="141">
        <v>0.96</v>
      </c>
      <c r="K121" s="74">
        <f>+[5]Abstract!$A107</f>
        <v>0.79</v>
      </c>
      <c r="L121" s="74">
        <v>0</v>
      </c>
      <c r="M121" s="74">
        <f>+[6]Abstract!$A102</f>
        <v>0</v>
      </c>
      <c r="N121" s="74">
        <v>0</v>
      </c>
      <c r="O121" s="74">
        <f>+[7]Abstract!$A103</f>
        <v>0.43</v>
      </c>
      <c r="P121" s="74">
        <v>0</v>
      </c>
      <c r="Q121" s="74">
        <f>+[8]Abstract!$A103</f>
        <v>0.25</v>
      </c>
      <c r="R121" s="74">
        <v>0.97</v>
      </c>
      <c r="S121" s="74">
        <f>+[9]Abstract!$A103</f>
        <v>0.17</v>
      </c>
      <c r="T121" s="74"/>
      <c r="U121" s="74"/>
      <c r="V121" s="45">
        <f t="shared" si="19"/>
        <v>1.93</v>
      </c>
      <c r="W121" s="53">
        <f t="shared" si="22"/>
        <v>60449.240499999993</v>
      </c>
      <c r="X121" s="45">
        <f t="shared" si="21"/>
        <v>3.01</v>
      </c>
      <c r="Y121" s="53">
        <f t="shared" si="23"/>
        <v>94275.758499999982</v>
      </c>
      <c r="Z121" s="136">
        <f t="shared" si="20"/>
        <v>33826.517999999989</v>
      </c>
    </row>
    <row r="122" spans="1:26" x14ac:dyDescent="0.25">
      <c r="A122" s="33" t="s">
        <v>26</v>
      </c>
      <c r="B122" s="72">
        <v>630</v>
      </c>
      <c r="C122" s="73" t="s">
        <v>10</v>
      </c>
      <c r="D122" s="138" t="s">
        <v>44</v>
      </c>
      <c r="E122" s="144">
        <v>35108.400000000001</v>
      </c>
      <c r="F122" s="141">
        <v>0.44</v>
      </c>
      <c r="G122" s="74">
        <f>+[3]Abstract!$A108</f>
        <v>0.11</v>
      </c>
      <c r="H122" s="154">
        <v>0</v>
      </c>
      <c r="I122" s="117">
        <f>+[4]Abstract!$A107</f>
        <v>0</v>
      </c>
      <c r="J122" s="141">
        <v>1.17</v>
      </c>
      <c r="K122" s="74">
        <f>+[5]Abstract!$A108</f>
        <v>0.52</v>
      </c>
      <c r="L122" s="74">
        <v>0</v>
      </c>
      <c r="M122" s="74">
        <f>+[6]Abstract!$A103</f>
        <v>0</v>
      </c>
      <c r="N122" s="74">
        <v>1.53</v>
      </c>
      <c r="O122" s="74">
        <f>+[7]Abstract!$A104</f>
        <v>0.64</v>
      </c>
      <c r="P122" s="74">
        <v>0</v>
      </c>
      <c r="Q122" s="74">
        <f>+[8]Abstract!$A104</f>
        <v>0</v>
      </c>
      <c r="R122" s="74">
        <v>0</v>
      </c>
      <c r="S122" s="74">
        <f>+[9]Abstract!$A104</f>
        <v>0.52</v>
      </c>
      <c r="T122" s="74"/>
      <c r="U122" s="74"/>
      <c r="V122" s="45">
        <f t="shared" si="19"/>
        <v>3.14</v>
      </c>
      <c r="W122" s="53">
        <f t="shared" si="22"/>
        <v>110240.376</v>
      </c>
      <c r="X122" s="45">
        <f t="shared" si="21"/>
        <v>1.7900000000000003</v>
      </c>
      <c r="Y122" s="53">
        <f t="shared" si="23"/>
        <v>62844.036000000015</v>
      </c>
      <c r="Z122" s="136">
        <f t="shared" si="20"/>
        <v>-47396.339999999989</v>
      </c>
    </row>
    <row r="123" spans="1:26" x14ac:dyDescent="0.25">
      <c r="A123" s="33" t="s">
        <v>27</v>
      </c>
      <c r="B123" s="72">
        <v>710</v>
      </c>
      <c r="C123" s="73" t="s">
        <v>10</v>
      </c>
      <c r="D123" s="138" t="s">
        <v>44</v>
      </c>
      <c r="E123" s="144">
        <v>40353.800000000003</v>
      </c>
      <c r="F123" s="141">
        <v>0</v>
      </c>
      <c r="G123" s="74">
        <f>+[3]Abstract!$A109</f>
        <v>0</v>
      </c>
      <c r="H123" s="154">
        <v>0</v>
      </c>
      <c r="I123" s="117">
        <f>+[4]Abstract!$A108</f>
        <v>0</v>
      </c>
      <c r="J123" s="141">
        <v>1.54</v>
      </c>
      <c r="K123" s="74">
        <f>+[5]Abstract!$A109</f>
        <v>1.33</v>
      </c>
      <c r="L123" s="74">
        <v>0</v>
      </c>
      <c r="M123" s="74">
        <f>+[6]Abstract!$A104</f>
        <v>0</v>
      </c>
      <c r="N123" s="74">
        <v>0</v>
      </c>
      <c r="O123" s="74">
        <f>+[7]Abstract!$A105</f>
        <v>0</v>
      </c>
      <c r="P123" s="74">
        <v>0</v>
      </c>
      <c r="Q123" s="74">
        <f>+[8]Abstract!$A105</f>
        <v>0.32</v>
      </c>
      <c r="R123" s="74">
        <v>0.62</v>
      </c>
      <c r="S123" s="74">
        <f>+[9]Abstract!$A105</f>
        <v>0.18</v>
      </c>
      <c r="T123" s="74"/>
      <c r="U123" s="74"/>
      <c r="V123" s="45">
        <f t="shared" si="19"/>
        <v>2.16</v>
      </c>
      <c r="W123" s="53">
        <f t="shared" si="22"/>
        <v>87164.208000000013</v>
      </c>
      <c r="X123" s="45">
        <f t="shared" si="21"/>
        <v>1.83</v>
      </c>
      <c r="Y123" s="53">
        <f t="shared" si="23"/>
        <v>73847.454000000012</v>
      </c>
      <c r="Z123" s="136">
        <f t="shared" si="20"/>
        <v>-13316.754000000001</v>
      </c>
    </row>
    <row r="124" spans="1:26" x14ac:dyDescent="0.25">
      <c r="A124" s="33" t="s">
        <v>28</v>
      </c>
      <c r="B124" s="72">
        <v>800</v>
      </c>
      <c r="C124" s="73" t="s">
        <v>10</v>
      </c>
      <c r="D124" s="138" t="s">
        <v>44</v>
      </c>
      <c r="E124" s="144">
        <v>46997.45</v>
      </c>
      <c r="F124" s="141">
        <v>0</v>
      </c>
      <c r="G124" s="74">
        <f>+[3]Abstract!$A110</f>
        <v>0</v>
      </c>
      <c r="H124" s="154">
        <v>0</v>
      </c>
      <c r="I124" s="117">
        <f>+[4]Abstract!$A109</f>
        <v>0</v>
      </c>
      <c r="J124" s="141">
        <v>0.52</v>
      </c>
      <c r="K124" s="74">
        <f>+[5]Abstract!$A110</f>
        <v>1.05</v>
      </c>
      <c r="L124" s="74">
        <v>0</v>
      </c>
      <c r="M124" s="74">
        <f>+[6]Abstract!$A105</f>
        <v>0</v>
      </c>
      <c r="N124" s="74">
        <v>0</v>
      </c>
      <c r="O124" s="74">
        <f>+[7]Abstract!$A106</f>
        <v>0</v>
      </c>
      <c r="P124" s="74">
        <v>0.54</v>
      </c>
      <c r="Q124" s="74">
        <f>+[8]Abstract!$A106</f>
        <v>0.54</v>
      </c>
      <c r="R124" s="74">
        <v>0</v>
      </c>
      <c r="S124" s="74">
        <f>+[9]Abstract!$A106</f>
        <v>0</v>
      </c>
      <c r="T124" s="74"/>
      <c r="U124" s="74"/>
      <c r="V124" s="45">
        <f t="shared" si="19"/>
        <v>1.06</v>
      </c>
      <c r="W124" s="53">
        <f t="shared" si="22"/>
        <v>49817.296999999999</v>
      </c>
      <c r="X124" s="45">
        <f t="shared" si="21"/>
        <v>1.59</v>
      </c>
      <c r="Y124" s="53">
        <f t="shared" si="23"/>
        <v>74725.945500000002</v>
      </c>
      <c r="Z124" s="136">
        <f t="shared" si="20"/>
        <v>24908.648500000003</v>
      </c>
    </row>
    <row r="125" spans="1:26" x14ac:dyDescent="0.25">
      <c r="A125" s="244" t="s">
        <v>115</v>
      </c>
      <c r="B125" s="245"/>
      <c r="C125" s="246"/>
      <c r="D125" s="2"/>
      <c r="E125" s="145"/>
      <c r="F125" s="118"/>
      <c r="G125" s="1"/>
      <c r="H125" s="2"/>
      <c r="I125" s="149"/>
      <c r="J125" s="11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45">
        <f t="shared" si="19"/>
        <v>0</v>
      </c>
      <c r="W125" s="53">
        <f t="shared" si="22"/>
        <v>0</v>
      </c>
      <c r="X125" s="45">
        <f t="shared" si="21"/>
        <v>0</v>
      </c>
      <c r="Y125" s="53">
        <f t="shared" si="23"/>
        <v>0</v>
      </c>
      <c r="Z125" s="136">
        <f t="shared" si="20"/>
        <v>0</v>
      </c>
    </row>
    <row r="126" spans="1:26" x14ac:dyDescent="0.25">
      <c r="A126" s="33" t="s">
        <v>9</v>
      </c>
      <c r="B126" s="72">
        <v>900</v>
      </c>
      <c r="C126" s="73" t="s">
        <v>10</v>
      </c>
      <c r="D126" s="138" t="s">
        <v>44</v>
      </c>
      <c r="E126" s="144">
        <v>55275.6</v>
      </c>
      <c r="F126" s="141">
        <v>0</v>
      </c>
      <c r="G126" s="74">
        <f>+[3]Abstract!$A$113</f>
        <v>0</v>
      </c>
      <c r="H126" s="154">
        <v>0</v>
      </c>
      <c r="I126" s="149">
        <v>0</v>
      </c>
      <c r="J126" s="141">
        <v>0.72</v>
      </c>
      <c r="K126" s="74">
        <f>+[5]Abstract!$A$113</f>
        <v>0.52</v>
      </c>
      <c r="L126" s="74">
        <v>0</v>
      </c>
      <c r="M126" s="74">
        <v>0</v>
      </c>
      <c r="N126" s="74">
        <v>0</v>
      </c>
      <c r="O126" s="74">
        <v>0</v>
      </c>
      <c r="P126" s="74">
        <v>0.84</v>
      </c>
      <c r="Q126" s="74">
        <f>+[8]Abstract!$A$109</f>
        <v>0.56999999999999995</v>
      </c>
      <c r="R126" s="74">
        <v>0</v>
      </c>
      <c r="S126" s="74">
        <f>+[9]Abstract!$A$109</f>
        <v>0</v>
      </c>
      <c r="T126" s="74"/>
      <c r="U126" s="74"/>
      <c r="V126" s="45">
        <f t="shared" si="19"/>
        <v>1.56</v>
      </c>
      <c r="W126" s="53">
        <f t="shared" si="22"/>
        <v>86229.936000000002</v>
      </c>
      <c r="X126" s="45">
        <f t="shared" si="21"/>
        <v>1.0899999999999999</v>
      </c>
      <c r="Y126" s="53">
        <f t="shared" si="23"/>
        <v>60250.403999999988</v>
      </c>
      <c r="Z126" s="136">
        <f t="shared" si="20"/>
        <v>-25979.532000000014</v>
      </c>
    </row>
    <row r="127" spans="1:26" x14ac:dyDescent="0.25">
      <c r="A127" s="244" t="s">
        <v>116</v>
      </c>
      <c r="B127" s="245"/>
      <c r="C127" s="246"/>
      <c r="D127" s="139"/>
      <c r="E127" s="148"/>
      <c r="F127" s="141"/>
      <c r="G127" s="74"/>
      <c r="H127" s="154"/>
      <c r="I127" s="149"/>
      <c r="J127" s="141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45">
        <f t="shared" si="19"/>
        <v>0</v>
      </c>
      <c r="W127" s="53">
        <f t="shared" si="22"/>
        <v>0</v>
      </c>
      <c r="X127" s="45">
        <f t="shared" si="21"/>
        <v>0</v>
      </c>
      <c r="Y127" s="53">
        <f t="shared" si="23"/>
        <v>0</v>
      </c>
      <c r="Z127" s="136">
        <f t="shared" si="20"/>
        <v>0</v>
      </c>
    </row>
    <row r="128" spans="1:26" x14ac:dyDescent="0.25">
      <c r="A128" s="257" t="s">
        <v>45</v>
      </c>
      <c r="B128" s="258"/>
      <c r="C128" s="259"/>
      <c r="D128" s="138" t="s">
        <v>11</v>
      </c>
      <c r="E128" s="144">
        <v>10349.450000000001</v>
      </c>
      <c r="F128" s="141">
        <v>42.5</v>
      </c>
      <c r="G128" s="74">
        <f>+[3]Abstract!$A$118</f>
        <v>42.5</v>
      </c>
      <c r="H128" s="154">
        <v>12.5</v>
      </c>
      <c r="I128" s="117">
        <f>+[4]Abstract!$A$117</f>
        <v>12.5</v>
      </c>
      <c r="J128" s="141">
        <v>112.5</v>
      </c>
      <c r="K128" s="74">
        <f>+[5]Abstract!$A$118</f>
        <v>112.5</v>
      </c>
      <c r="L128" s="74">
        <v>15</v>
      </c>
      <c r="M128" s="74">
        <f>+[6]Abstract!$A$113</f>
        <v>15</v>
      </c>
      <c r="N128" s="74">
        <v>20</v>
      </c>
      <c r="O128" s="74">
        <f>+[7]Abstract!$A$114</f>
        <v>20</v>
      </c>
      <c r="P128" s="74">
        <v>117.5</v>
      </c>
      <c r="Q128" s="74">
        <f>+[8]Abstract!$A$114</f>
        <v>117.5</v>
      </c>
      <c r="R128" s="74">
        <v>35</v>
      </c>
      <c r="S128" s="74">
        <f>+[9]Abstract!$A$114</f>
        <v>35</v>
      </c>
      <c r="T128" s="74"/>
      <c r="U128" s="74"/>
      <c r="V128" s="45">
        <f t="shared" si="19"/>
        <v>355</v>
      </c>
      <c r="W128" s="53">
        <f t="shared" si="22"/>
        <v>3674054.7500000005</v>
      </c>
      <c r="X128" s="45">
        <f t="shared" si="21"/>
        <v>355</v>
      </c>
      <c r="Y128" s="53">
        <f t="shared" si="23"/>
        <v>3674054.7500000005</v>
      </c>
      <c r="Z128" s="136">
        <f t="shared" si="20"/>
        <v>0</v>
      </c>
    </row>
    <row r="129" spans="1:26" x14ac:dyDescent="0.25">
      <c r="A129" s="254" t="s">
        <v>122</v>
      </c>
      <c r="B129" s="255"/>
      <c r="C129" s="256"/>
      <c r="D129" s="138" t="s">
        <v>46</v>
      </c>
      <c r="E129" s="144">
        <v>6133.55</v>
      </c>
      <c r="F129" s="141">
        <v>9.52</v>
      </c>
      <c r="G129" s="74">
        <f>+[3]Abstract!$A119</f>
        <v>9.5220000000000002</v>
      </c>
      <c r="H129" s="154">
        <v>9.52</v>
      </c>
      <c r="I129" s="117">
        <f>+[4]Abstract!$A118</f>
        <v>9.52</v>
      </c>
      <c r="J129" s="141">
        <v>9.52</v>
      </c>
      <c r="K129" s="74">
        <f>+[5]Abstract!$A119</f>
        <v>9.5220000000000002</v>
      </c>
      <c r="L129" s="74">
        <v>9.52</v>
      </c>
      <c r="M129" s="74">
        <f>+[6]Abstract!$A114</f>
        <v>9.5220000000000002</v>
      </c>
      <c r="N129" s="74">
        <v>9.52</v>
      </c>
      <c r="O129" s="74">
        <f>+[7]Abstract!$A115</f>
        <v>9.5220000000000002</v>
      </c>
      <c r="P129" s="74">
        <v>9.52</v>
      </c>
      <c r="Q129" s="74">
        <f>+[8]Abstract!$A115</f>
        <v>9.52</v>
      </c>
      <c r="R129" s="74">
        <v>9.52</v>
      </c>
      <c r="S129" s="74">
        <f>+[9]Abstract!$A115</f>
        <v>9.5220000000000002</v>
      </c>
      <c r="T129" s="74"/>
      <c r="U129" s="74"/>
      <c r="V129" s="45">
        <f t="shared" si="19"/>
        <v>66.639999999999986</v>
      </c>
      <c r="W129" s="53">
        <f t="shared" si="22"/>
        <v>408739.77199999994</v>
      </c>
      <c r="X129" s="45">
        <f t="shared" si="21"/>
        <v>66.649999999999991</v>
      </c>
      <c r="Y129" s="53">
        <f t="shared" si="23"/>
        <v>408801.10749999998</v>
      </c>
      <c r="Z129" s="136">
        <f t="shared" si="20"/>
        <v>61.335500000044703</v>
      </c>
    </row>
    <row r="130" spans="1:26" x14ac:dyDescent="0.25">
      <c r="A130" s="254" t="s">
        <v>47</v>
      </c>
      <c r="B130" s="255"/>
      <c r="C130" s="256"/>
      <c r="D130" s="138" t="s">
        <v>35</v>
      </c>
      <c r="E130" s="144">
        <v>273.55</v>
      </c>
      <c r="F130" s="141">
        <v>40.5</v>
      </c>
      <c r="G130" s="74">
        <f>+[3]Abstract!$A120</f>
        <v>40.5</v>
      </c>
      <c r="H130" s="154">
        <v>40.5</v>
      </c>
      <c r="I130" s="117">
        <f>+[4]Abstract!$A119</f>
        <v>40.5</v>
      </c>
      <c r="J130" s="141">
        <v>40.5</v>
      </c>
      <c r="K130" s="74">
        <f>+[5]Abstract!$A120</f>
        <v>40.5</v>
      </c>
      <c r="L130" s="74">
        <v>40.5</v>
      </c>
      <c r="M130" s="74">
        <f>+[6]Abstract!$A115</f>
        <v>40.5</v>
      </c>
      <c r="N130" s="74">
        <v>40.5</v>
      </c>
      <c r="O130" s="74">
        <f>+[7]Abstract!$A116</f>
        <v>40.5</v>
      </c>
      <c r="P130" s="74">
        <v>40.5</v>
      </c>
      <c r="Q130" s="74">
        <f>+[8]Abstract!$A116</f>
        <v>40.5</v>
      </c>
      <c r="R130" s="74">
        <v>40.5</v>
      </c>
      <c r="S130" s="74">
        <f>+[9]Abstract!$A116</f>
        <v>40.5</v>
      </c>
      <c r="T130" s="74"/>
      <c r="U130" s="74"/>
      <c r="V130" s="45">
        <f t="shared" si="19"/>
        <v>283.5</v>
      </c>
      <c r="W130" s="53">
        <f t="shared" si="22"/>
        <v>77551.425000000003</v>
      </c>
      <c r="X130" s="45">
        <f t="shared" si="21"/>
        <v>283.5</v>
      </c>
      <c r="Y130" s="53">
        <f t="shared" si="23"/>
        <v>77551.425000000003</v>
      </c>
      <c r="Z130" s="136">
        <f t="shared" si="20"/>
        <v>0</v>
      </c>
    </row>
    <row r="131" spans="1:26" x14ac:dyDescent="0.25">
      <c r="A131" s="254" t="s">
        <v>48</v>
      </c>
      <c r="B131" s="255"/>
      <c r="C131" s="256"/>
      <c r="D131" s="138" t="s">
        <v>35</v>
      </c>
      <c r="E131" s="144">
        <v>642.75</v>
      </c>
      <c r="F131" s="141">
        <v>44.1</v>
      </c>
      <c r="G131" s="74">
        <f>+[3]Abstract!$A121</f>
        <v>44.099999999999994</v>
      </c>
      <c r="H131" s="154">
        <v>44.1</v>
      </c>
      <c r="I131" s="117">
        <f>+[4]Abstract!$A120</f>
        <v>44.099999999999994</v>
      </c>
      <c r="J131" s="141">
        <v>44.1</v>
      </c>
      <c r="K131" s="74">
        <f>+[5]Abstract!$A121</f>
        <v>44.099999999999994</v>
      </c>
      <c r="L131" s="74">
        <v>44.1</v>
      </c>
      <c r="M131" s="74">
        <f>+[6]Abstract!$A116</f>
        <v>44.099999999999994</v>
      </c>
      <c r="N131" s="74">
        <v>44.1</v>
      </c>
      <c r="O131" s="74">
        <f>+[7]Abstract!$A117</f>
        <v>44.099999999999994</v>
      </c>
      <c r="P131" s="74">
        <v>44.1</v>
      </c>
      <c r="Q131" s="74">
        <f>+[8]Abstract!$A117</f>
        <v>44.099999999999994</v>
      </c>
      <c r="R131" s="74">
        <v>44.1</v>
      </c>
      <c r="S131" s="74">
        <f>+[9]Abstract!$A117</f>
        <v>44.099999999999994</v>
      </c>
      <c r="T131" s="74"/>
      <c r="U131" s="74"/>
      <c r="V131" s="45">
        <f t="shared" si="19"/>
        <v>308.70000000000005</v>
      </c>
      <c r="W131" s="53">
        <f t="shared" si="22"/>
        <v>198416.92500000002</v>
      </c>
      <c r="X131" s="45">
        <f t="shared" si="21"/>
        <v>308.69999999999993</v>
      </c>
      <c r="Y131" s="53">
        <f t="shared" si="23"/>
        <v>198416.92499999996</v>
      </c>
      <c r="Z131" s="136">
        <f t="shared" si="20"/>
        <v>0</v>
      </c>
    </row>
    <row r="132" spans="1:26" x14ac:dyDescent="0.25">
      <c r="A132" s="254" t="s">
        <v>49</v>
      </c>
      <c r="B132" s="255"/>
      <c r="C132" s="256"/>
      <c r="D132" s="138" t="s">
        <v>35</v>
      </c>
      <c r="E132" s="144">
        <v>79</v>
      </c>
      <c r="F132" s="141">
        <v>44.1</v>
      </c>
      <c r="G132" s="74">
        <f>+[3]Abstract!$A122</f>
        <v>44.099999999999994</v>
      </c>
      <c r="H132" s="154">
        <v>44.1</v>
      </c>
      <c r="I132" s="117">
        <f>+[4]Abstract!$A121</f>
        <v>44.099999999999994</v>
      </c>
      <c r="J132" s="141">
        <v>44.1</v>
      </c>
      <c r="K132" s="74">
        <f>+[5]Abstract!$A122</f>
        <v>44.099999999999994</v>
      </c>
      <c r="L132" s="74">
        <v>44.1</v>
      </c>
      <c r="M132" s="74">
        <f>+[6]Abstract!$A117</f>
        <v>44.099999999999994</v>
      </c>
      <c r="N132" s="74">
        <v>44.1</v>
      </c>
      <c r="O132" s="74">
        <f>+[7]Abstract!$A118</f>
        <v>44.099999999999994</v>
      </c>
      <c r="P132" s="74">
        <v>44.1</v>
      </c>
      <c r="Q132" s="74">
        <f>+[8]Abstract!$A118</f>
        <v>44.099999999999994</v>
      </c>
      <c r="R132" s="74">
        <v>44.1</v>
      </c>
      <c r="S132" s="74">
        <f>+[9]Abstract!$A118</f>
        <v>44.099999999999994</v>
      </c>
      <c r="T132" s="74"/>
      <c r="U132" s="74"/>
      <c r="V132" s="45">
        <f t="shared" si="19"/>
        <v>308.70000000000005</v>
      </c>
      <c r="W132" s="53">
        <f t="shared" si="22"/>
        <v>24387.300000000003</v>
      </c>
      <c r="X132" s="45">
        <f t="shared" si="21"/>
        <v>308.69999999999993</v>
      </c>
      <c r="Y132" s="53">
        <f t="shared" si="23"/>
        <v>24387.299999999996</v>
      </c>
      <c r="Z132" s="136">
        <f t="shared" si="20"/>
        <v>0</v>
      </c>
    </row>
    <row r="133" spans="1:26" x14ac:dyDescent="0.25">
      <c r="A133" s="254" t="s">
        <v>50</v>
      </c>
      <c r="B133" s="255"/>
      <c r="C133" s="256"/>
      <c r="D133" s="138" t="s">
        <v>35</v>
      </c>
      <c r="E133" s="144">
        <v>10</v>
      </c>
      <c r="F133" s="141">
        <v>40.5</v>
      </c>
      <c r="G133" s="74">
        <f>+[3]Abstract!$A123</f>
        <v>40.5</v>
      </c>
      <c r="H133" s="154">
        <v>40.5</v>
      </c>
      <c r="I133" s="117">
        <f>+[4]Abstract!$A122</f>
        <v>40.5</v>
      </c>
      <c r="J133" s="141">
        <v>40.5</v>
      </c>
      <c r="K133" s="74">
        <f>+[5]Abstract!$A123</f>
        <v>40.5</v>
      </c>
      <c r="L133" s="74">
        <v>40.5</v>
      </c>
      <c r="M133" s="74">
        <f>+[6]Abstract!$A118</f>
        <v>40.5</v>
      </c>
      <c r="N133" s="74">
        <v>40.5</v>
      </c>
      <c r="O133" s="74">
        <f>+[7]Abstract!$A119</f>
        <v>40.5</v>
      </c>
      <c r="P133" s="74">
        <v>40.5</v>
      </c>
      <c r="Q133" s="74">
        <f>+[8]Abstract!$A119</f>
        <v>40.5</v>
      </c>
      <c r="R133" s="74">
        <v>40.5</v>
      </c>
      <c r="S133" s="74">
        <f>+[9]Abstract!$A119</f>
        <v>40.5</v>
      </c>
      <c r="T133" s="74"/>
      <c r="U133" s="74"/>
      <c r="V133" s="45">
        <f t="shared" si="19"/>
        <v>283.5</v>
      </c>
      <c r="W133" s="53">
        <f t="shared" si="22"/>
        <v>2835</v>
      </c>
      <c r="X133" s="45">
        <f t="shared" si="21"/>
        <v>283.5</v>
      </c>
      <c r="Y133" s="53">
        <f t="shared" si="23"/>
        <v>2835</v>
      </c>
      <c r="Z133" s="136">
        <f t="shared" si="20"/>
        <v>0</v>
      </c>
    </row>
    <row r="134" spans="1:26" x14ac:dyDescent="0.25">
      <c r="A134" s="254" t="s">
        <v>51</v>
      </c>
      <c r="B134" s="255"/>
      <c r="C134" s="256"/>
      <c r="D134" s="138" t="s">
        <v>35</v>
      </c>
      <c r="E134" s="144">
        <v>4828.8999999999996</v>
      </c>
      <c r="F134" s="141">
        <v>3.15</v>
      </c>
      <c r="G134" s="74">
        <f>+[3]Abstract!$A124</f>
        <v>3.1500000000000004</v>
      </c>
      <c r="H134" s="154">
        <v>3.15</v>
      </c>
      <c r="I134" s="117">
        <f>+[4]Abstract!$A123</f>
        <v>3.1500000000000004</v>
      </c>
      <c r="J134" s="141">
        <v>3.15</v>
      </c>
      <c r="K134" s="74">
        <f>+[5]Abstract!$A124</f>
        <v>3.1500000000000004</v>
      </c>
      <c r="L134" s="74">
        <v>3.15</v>
      </c>
      <c r="M134" s="74">
        <f>+[6]Abstract!$A119</f>
        <v>3.1500000000000004</v>
      </c>
      <c r="N134" s="74">
        <v>3.15</v>
      </c>
      <c r="O134" s="74">
        <f>+[7]Abstract!$A120</f>
        <v>3.1500000000000004</v>
      </c>
      <c r="P134" s="74">
        <v>3.15</v>
      </c>
      <c r="Q134" s="74">
        <f>+[8]Abstract!$A120</f>
        <v>3.1500000000000004</v>
      </c>
      <c r="R134" s="74">
        <v>3.15</v>
      </c>
      <c r="S134" s="74">
        <f>+[9]Abstract!$A120</f>
        <v>3.1500000000000004</v>
      </c>
      <c r="T134" s="74"/>
      <c r="U134" s="74"/>
      <c r="V134" s="45">
        <f t="shared" si="19"/>
        <v>22.049999999999997</v>
      </c>
      <c r="W134" s="53">
        <f t="shared" si="22"/>
        <v>106477.24499999998</v>
      </c>
      <c r="X134" s="45">
        <f t="shared" si="21"/>
        <v>22.050000000000004</v>
      </c>
      <c r="Y134" s="53">
        <f t="shared" si="23"/>
        <v>106477.24500000001</v>
      </c>
      <c r="Z134" s="136">
        <f t="shared" si="20"/>
        <v>0</v>
      </c>
    </row>
    <row r="135" spans="1:26" x14ac:dyDescent="0.25">
      <c r="A135" s="254" t="s">
        <v>52</v>
      </c>
      <c r="B135" s="255"/>
      <c r="C135" s="256"/>
      <c r="D135" s="138" t="s">
        <v>35</v>
      </c>
      <c r="E135" s="144">
        <v>4345</v>
      </c>
      <c r="F135" s="141">
        <v>2.4</v>
      </c>
      <c r="G135" s="74">
        <f>+[3]Abstract!$A125</f>
        <v>2.4</v>
      </c>
      <c r="H135" s="154">
        <v>2.4</v>
      </c>
      <c r="I135" s="117">
        <f>+[4]Abstract!$A124</f>
        <v>2.4</v>
      </c>
      <c r="J135" s="141">
        <v>2.4</v>
      </c>
      <c r="K135" s="74">
        <f>+[5]Abstract!$A125</f>
        <v>2.4</v>
      </c>
      <c r="L135" s="74">
        <v>2.4</v>
      </c>
      <c r="M135" s="74">
        <f>+[6]Abstract!$A120</f>
        <v>2.4</v>
      </c>
      <c r="N135" s="74">
        <v>2.4</v>
      </c>
      <c r="O135" s="74">
        <f>+[7]Abstract!$A121</f>
        <v>2.4</v>
      </c>
      <c r="P135" s="74">
        <v>2.4</v>
      </c>
      <c r="Q135" s="74">
        <f>+[8]Abstract!$A121</f>
        <v>2.4</v>
      </c>
      <c r="R135" s="74">
        <v>2.4</v>
      </c>
      <c r="S135" s="74">
        <f>+[9]Abstract!$A121</f>
        <v>2.4</v>
      </c>
      <c r="T135" s="74"/>
      <c r="U135" s="74"/>
      <c r="V135" s="45">
        <f t="shared" si="19"/>
        <v>16.8</v>
      </c>
      <c r="W135" s="53">
        <f t="shared" si="22"/>
        <v>72996</v>
      </c>
      <c r="X135" s="45">
        <f t="shared" si="21"/>
        <v>16.8</v>
      </c>
      <c r="Y135" s="53">
        <f t="shared" si="23"/>
        <v>72996</v>
      </c>
      <c r="Z135" s="136">
        <f t="shared" si="20"/>
        <v>0</v>
      </c>
    </row>
    <row r="136" spans="1:26" x14ac:dyDescent="0.25">
      <c r="A136" s="244" t="s">
        <v>117</v>
      </c>
      <c r="B136" s="245"/>
      <c r="C136" s="246"/>
      <c r="D136" s="138" t="s">
        <v>35</v>
      </c>
      <c r="E136" s="144">
        <v>1707.1</v>
      </c>
      <c r="F136" s="141">
        <v>2.4</v>
      </c>
      <c r="G136" s="74">
        <f>+[3]Abstract!$A126</f>
        <v>2.4</v>
      </c>
      <c r="H136" s="154">
        <v>2.4</v>
      </c>
      <c r="I136" s="117">
        <f>+[4]Abstract!$A125</f>
        <v>2.4</v>
      </c>
      <c r="J136" s="141">
        <v>2.4</v>
      </c>
      <c r="K136" s="74">
        <f>+[5]Abstract!$A126</f>
        <v>2.4</v>
      </c>
      <c r="L136" s="74">
        <v>2.4</v>
      </c>
      <c r="M136" s="74">
        <f>+[6]Abstract!$A121</f>
        <v>2.4</v>
      </c>
      <c r="N136" s="74">
        <v>2.4</v>
      </c>
      <c r="O136" s="74">
        <f>+[7]Abstract!$A122</f>
        <v>2.4</v>
      </c>
      <c r="P136" s="74">
        <v>2.4</v>
      </c>
      <c r="Q136" s="74">
        <f>+[8]Abstract!$A122</f>
        <v>2.4</v>
      </c>
      <c r="R136" s="74">
        <v>2.4</v>
      </c>
      <c r="S136" s="74">
        <f>+[9]Abstract!$A122</f>
        <v>2.4</v>
      </c>
      <c r="T136" s="74"/>
      <c r="U136" s="74"/>
      <c r="V136" s="45">
        <f t="shared" si="19"/>
        <v>16.8</v>
      </c>
      <c r="W136" s="53">
        <f t="shared" si="22"/>
        <v>28679.279999999999</v>
      </c>
      <c r="X136" s="45">
        <f t="shared" si="21"/>
        <v>16.8</v>
      </c>
      <c r="Y136" s="53">
        <f t="shared" si="23"/>
        <v>28679.279999999999</v>
      </c>
      <c r="Z136" s="136">
        <f t="shared" si="20"/>
        <v>0</v>
      </c>
    </row>
    <row r="137" spans="1:26" x14ac:dyDescent="0.25">
      <c r="A137" s="244" t="s">
        <v>118</v>
      </c>
      <c r="B137" s="245"/>
      <c r="C137" s="246"/>
      <c r="D137" s="138" t="s">
        <v>53</v>
      </c>
      <c r="E137" s="144">
        <v>75762</v>
      </c>
      <c r="F137" s="141">
        <v>1</v>
      </c>
      <c r="G137" s="74">
        <f>+[3]Abstract!$A127</f>
        <v>1</v>
      </c>
      <c r="H137" s="154">
        <v>1</v>
      </c>
      <c r="I137" s="117">
        <f>+[4]Abstract!$A126</f>
        <v>1</v>
      </c>
      <c r="J137" s="141">
        <v>1</v>
      </c>
      <c r="K137" s="74">
        <f>+[5]Abstract!$A127</f>
        <v>1</v>
      </c>
      <c r="L137" s="74">
        <v>1</v>
      </c>
      <c r="M137" s="74">
        <f>+[6]Abstract!$A122</f>
        <v>1</v>
      </c>
      <c r="N137" s="74">
        <v>1</v>
      </c>
      <c r="O137" s="74">
        <f>+[7]Abstract!$A123</f>
        <v>1</v>
      </c>
      <c r="P137" s="74">
        <v>1</v>
      </c>
      <c r="Q137" s="74">
        <f>+[8]Abstract!$A123</f>
        <v>1</v>
      </c>
      <c r="R137" s="74">
        <v>1</v>
      </c>
      <c r="S137" s="74">
        <f>+[9]Abstract!$A123</f>
        <v>1</v>
      </c>
      <c r="T137" s="74"/>
      <c r="U137" s="74"/>
      <c r="V137" s="45">
        <f t="shared" si="19"/>
        <v>7</v>
      </c>
      <c r="W137" s="53">
        <f t="shared" si="22"/>
        <v>530334</v>
      </c>
      <c r="X137" s="45">
        <f t="shared" si="21"/>
        <v>7</v>
      </c>
      <c r="Y137" s="53">
        <f t="shared" si="23"/>
        <v>530334</v>
      </c>
      <c r="Z137" s="136">
        <f t="shared" si="20"/>
        <v>0</v>
      </c>
    </row>
    <row r="138" spans="1:26" x14ac:dyDescent="0.25">
      <c r="A138" s="244" t="s">
        <v>119</v>
      </c>
      <c r="B138" s="245"/>
      <c r="C138" s="246"/>
      <c r="D138" s="138" t="s">
        <v>54</v>
      </c>
      <c r="E138" s="144">
        <v>676</v>
      </c>
      <c r="F138" s="141">
        <v>124.95</v>
      </c>
      <c r="G138" s="74">
        <f>+[3]Abstract!$A128</f>
        <v>149.06</v>
      </c>
      <c r="H138" s="154">
        <v>47.61</v>
      </c>
      <c r="I138" s="117">
        <f>+[4]Abstract!$A127</f>
        <v>58.72</v>
      </c>
      <c r="J138" s="141">
        <v>454.04</v>
      </c>
      <c r="K138" s="74">
        <f>+[5]Abstract!$A128</f>
        <v>529.95000000000005</v>
      </c>
      <c r="L138" s="74">
        <v>52.19</v>
      </c>
      <c r="M138" s="74">
        <f>+[6]Abstract!$A123</f>
        <v>77.92</v>
      </c>
      <c r="N138" s="74">
        <v>164.88</v>
      </c>
      <c r="O138" s="74">
        <f>+[7]Abstract!$A124</f>
        <v>222.49</v>
      </c>
      <c r="P138" s="74">
        <v>493.5</v>
      </c>
      <c r="Q138" s="74">
        <f>+[8]Abstract!$A124</f>
        <v>636.46</v>
      </c>
      <c r="R138" s="74">
        <v>133.58000000000001</v>
      </c>
      <c r="S138" s="74">
        <f>+[9]Abstract!$A124</f>
        <v>161.19</v>
      </c>
      <c r="T138" s="74"/>
      <c r="U138" s="74"/>
      <c r="V138" s="45">
        <f t="shared" si="19"/>
        <v>1470.75</v>
      </c>
      <c r="W138" s="53">
        <f t="shared" si="22"/>
        <v>994227</v>
      </c>
      <c r="X138" s="45">
        <f t="shared" si="21"/>
        <v>1835.79</v>
      </c>
      <c r="Y138" s="53">
        <f t="shared" si="23"/>
        <v>1240994.04</v>
      </c>
      <c r="Z138" s="136">
        <f t="shared" si="20"/>
        <v>246767.04000000004</v>
      </c>
    </row>
    <row r="139" spans="1:26" x14ac:dyDescent="0.25">
      <c r="A139" s="244" t="s">
        <v>120</v>
      </c>
      <c r="B139" s="245"/>
      <c r="C139" s="246"/>
      <c r="D139" s="138" t="s">
        <v>54</v>
      </c>
      <c r="E139" s="144">
        <v>41.6</v>
      </c>
      <c r="F139" s="141">
        <v>124.95</v>
      </c>
      <c r="G139" s="74">
        <f>+[3]Abstract!$A129</f>
        <v>149.06</v>
      </c>
      <c r="H139" s="154">
        <v>47.61</v>
      </c>
      <c r="I139" s="117">
        <f>+[4]Abstract!$A128</f>
        <v>58.72</v>
      </c>
      <c r="J139" s="141">
        <v>454.04</v>
      </c>
      <c r="K139" s="74">
        <f>+[5]Abstract!$A129</f>
        <v>529.95000000000005</v>
      </c>
      <c r="L139" s="74">
        <v>52.19</v>
      </c>
      <c r="M139" s="74">
        <f>+[6]Abstract!$A124</f>
        <v>77.92</v>
      </c>
      <c r="N139" s="74">
        <v>164.88</v>
      </c>
      <c r="O139" s="74">
        <f>+[7]Abstract!$A125</f>
        <v>222.49</v>
      </c>
      <c r="P139" s="74">
        <v>493.5</v>
      </c>
      <c r="Q139" s="74">
        <f>+[8]Abstract!$A125</f>
        <v>636.46</v>
      </c>
      <c r="R139" s="74">
        <v>133.58000000000001</v>
      </c>
      <c r="S139" s="74">
        <f>+[9]Abstract!$A125</f>
        <v>161.19</v>
      </c>
      <c r="T139" s="74"/>
      <c r="U139" s="74"/>
      <c r="V139" s="45">
        <f t="shared" si="19"/>
        <v>1470.75</v>
      </c>
      <c r="W139" s="53">
        <f t="shared" si="22"/>
        <v>61183.200000000004</v>
      </c>
      <c r="X139" s="45">
        <f t="shared" si="21"/>
        <v>1835.79</v>
      </c>
      <c r="Y139" s="53">
        <f t="shared" si="23"/>
        <v>76368.864000000001</v>
      </c>
      <c r="Z139" s="136">
        <f t="shared" si="20"/>
        <v>15185.663999999997</v>
      </c>
    </row>
    <row r="140" spans="1:26" x14ac:dyDescent="0.25">
      <c r="A140" s="247" t="s">
        <v>121</v>
      </c>
      <c r="B140" s="248"/>
      <c r="C140" s="249"/>
      <c r="D140" s="2"/>
      <c r="E140" s="145"/>
      <c r="F140" s="118"/>
      <c r="G140" s="1"/>
      <c r="H140" s="2"/>
      <c r="I140" s="149"/>
      <c r="J140" s="11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53">
        <f>+SUM(W28:W139)*0.004</f>
        <v>1133506.2479310883</v>
      </c>
      <c r="X140" s="45">
        <f t="shared" si="21"/>
        <v>0</v>
      </c>
      <c r="Y140" s="53">
        <f>+SUM(Y28:Y139)*0.004</f>
        <v>1213874.2462272712</v>
      </c>
      <c r="Z140" s="136">
        <f t="shared" si="20"/>
        <v>80367.998296182835</v>
      </c>
    </row>
    <row r="141" spans="1:26" ht="13.5" customHeight="1" x14ac:dyDescent="0.25">
      <c r="A141" s="73" t="s">
        <v>55</v>
      </c>
      <c r="B141" s="1"/>
      <c r="C141" s="73" t="s">
        <v>56</v>
      </c>
      <c r="D141" s="2"/>
      <c r="E141" s="144">
        <v>1134362</v>
      </c>
      <c r="F141" s="118"/>
      <c r="G141" s="1"/>
      <c r="H141" s="2"/>
      <c r="I141" s="149"/>
      <c r="J141" s="11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53">
        <f>+W140</f>
        <v>1133506.2479310883</v>
      </c>
      <c r="X141" s="45">
        <f t="shared" si="21"/>
        <v>0</v>
      </c>
      <c r="Y141" s="53">
        <f>+Y140</f>
        <v>1213874.2462272712</v>
      </c>
      <c r="Z141" s="136">
        <f t="shared" si="20"/>
        <v>80367.998296182835</v>
      </c>
    </row>
    <row r="142" spans="1:26" ht="13.5" customHeight="1" x14ac:dyDescent="0.25">
      <c r="A142" s="73" t="s">
        <v>57</v>
      </c>
      <c r="B142" s="1"/>
      <c r="C142" s="73" t="s">
        <v>56</v>
      </c>
      <c r="D142" s="2"/>
      <c r="E142" s="144">
        <v>1134362</v>
      </c>
      <c r="F142" s="118"/>
      <c r="G142" s="1"/>
      <c r="H142" s="2"/>
      <c r="I142" s="149"/>
      <c r="J142" s="118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53">
        <f>+W141</f>
        <v>1133506.2479310883</v>
      </c>
      <c r="X142" s="45">
        <f t="shared" si="21"/>
        <v>0</v>
      </c>
      <c r="Y142" s="53">
        <f>+Y141</f>
        <v>1213874.2462272712</v>
      </c>
      <c r="Z142" s="136">
        <f t="shared" si="20"/>
        <v>80367.998296182835</v>
      </c>
    </row>
    <row r="143" spans="1:26" ht="13.5" customHeight="1" x14ac:dyDescent="0.25">
      <c r="A143" s="73" t="s">
        <v>58</v>
      </c>
      <c r="B143" s="1"/>
      <c r="C143" s="73" t="s">
        <v>56</v>
      </c>
      <c r="D143" s="2"/>
      <c r="E143" s="144">
        <v>1134362</v>
      </c>
      <c r="F143" s="118"/>
      <c r="G143" s="1"/>
      <c r="H143" s="2"/>
      <c r="I143" s="149"/>
      <c r="J143" s="11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53">
        <f>+W142</f>
        <v>1133506.2479310883</v>
      </c>
      <c r="X143" s="45">
        <f t="shared" si="21"/>
        <v>0</v>
      </c>
      <c r="Y143" s="53">
        <f>+Y142</f>
        <v>1213874.2462272712</v>
      </c>
      <c r="Z143" s="136">
        <f t="shared" si="20"/>
        <v>80367.998296182835</v>
      </c>
    </row>
    <row r="144" spans="1:26" ht="13.5" customHeight="1" x14ac:dyDescent="0.25">
      <c r="A144" s="73" t="s">
        <v>59</v>
      </c>
      <c r="B144" s="1"/>
      <c r="C144" s="73" t="s">
        <v>56</v>
      </c>
      <c r="D144" s="2"/>
      <c r="E144" s="144">
        <v>1134362</v>
      </c>
      <c r="F144" s="118"/>
      <c r="G144" s="1"/>
      <c r="H144" s="2"/>
      <c r="I144" s="149"/>
      <c r="J144" s="118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53">
        <f>+W143</f>
        <v>1133506.2479310883</v>
      </c>
      <c r="X144" s="45">
        <f t="shared" si="21"/>
        <v>0</v>
      </c>
      <c r="Y144" s="53">
        <f>+Y143</f>
        <v>1213874.2462272712</v>
      </c>
      <c r="Z144" s="136">
        <f t="shared" si="20"/>
        <v>80367.998296182835</v>
      </c>
    </row>
    <row r="145" spans="1:26" ht="13.5" customHeight="1" x14ac:dyDescent="0.25">
      <c r="A145" s="73" t="s">
        <v>60</v>
      </c>
      <c r="B145" s="1"/>
      <c r="C145" s="73" t="s">
        <v>56</v>
      </c>
      <c r="D145" s="2"/>
      <c r="E145" s="144">
        <v>1134362</v>
      </c>
      <c r="F145" s="118"/>
      <c r="G145" s="1"/>
      <c r="H145" s="2"/>
      <c r="I145" s="149"/>
      <c r="J145" s="118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53">
        <f>+W144</f>
        <v>1133506.2479310883</v>
      </c>
      <c r="X145" s="45">
        <f t="shared" si="21"/>
        <v>0</v>
      </c>
      <c r="Y145" s="53">
        <f>+Y144</f>
        <v>1213874.2462272712</v>
      </c>
      <c r="Z145" s="136">
        <f t="shared" si="20"/>
        <v>80367.998296182835</v>
      </c>
    </row>
    <row r="146" spans="1:26" x14ac:dyDescent="0.25">
      <c r="W146" s="55">
        <f>SUM(W28:W145)</f>
        <v>290177599.47035843</v>
      </c>
      <c r="Y146" s="55">
        <f>SUM(Y28:Y145)</f>
        <v>310751807.03418136</v>
      </c>
    </row>
    <row r="147" spans="1:26" x14ac:dyDescent="0.25">
      <c r="Y147" s="55">
        <f>+Y146-W146</f>
        <v>20574207.563822925</v>
      </c>
    </row>
  </sheetData>
  <mergeCells count="67">
    <mergeCell ref="E2:E4"/>
    <mergeCell ref="Y1:Y2"/>
    <mergeCell ref="X1:X2"/>
    <mergeCell ref="W1:W2"/>
    <mergeCell ref="A55:C55"/>
    <mergeCell ref="A58:C58"/>
    <mergeCell ref="A65:C65"/>
    <mergeCell ref="A35:C35"/>
    <mergeCell ref="A29:C29"/>
    <mergeCell ref="A30:C30"/>
    <mergeCell ref="A36:C36"/>
    <mergeCell ref="A6:C6"/>
    <mergeCell ref="A26:C26"/>
    <mergeCell ref="A1:V1"/>
    <mergeCell ref="A5:C5"/>
    <mergeCell ref="J3:K3"/>
    <mergeCell ref="L3:M3"/>
    <mergeCell ref="N3:O3"/>
    <mergeCell ref="P3:Q3"/>
    <mergeCell ref="R3:S3"/>
    <mergeCell ref="A25:C25"/>
    <mergeCell ref="T3:U3"/>
    <mergeCell ref="A2:C4"/>
    <mergeCell ref="D2:D4"/>
    <mergeCell ref="A28:C28"/>
    <mergeCell ref="A31:C31"/>
    <mergeCell ref="A32:C32"/>
    <mergeCell ref="A33:C33"/>
    <mergeCell ref="A34:C34"/>
    <mergeCell ref="A73:C73"/>
    <mergeCell ref="A74:C74"/>
    <mergeCell ref="A87:C87"/>
    <mergeCell ref="B66:C66"/>
    <mergeCell ref="B67:C67"/>
    <mergeCell ref="B68:C68"/>
    <mergeCell ref="A70:C70"/>
    <mergeCell ref="A71:C71"/>
    <mergeCell ref="A88:C89"/>
    <mergeCell ref="D88:D89"/>
    <mergeCell ref="A90:C90"/>
    <mergeCell ref="A91:C91"/>
    <mergeCell ref="A92:C92"/>
    <mergeCell ref="A105:C105"/>
    <mergeCell ref="A106:C106"/>
    <mergeCell ref="A125:C125"/>
    <mergeCell ref="A127:C127"/>
    <mergeCell ref="A93:C93"/>
    <mergeCell ref="A94:C94"/>
    <mergeCell ref="A95:C95"/>
    <mergeCell ref="A96:C96"/>
    <mergeCell ref="A97:C97"/>
    <mergeCell ref="A138:C138"/>
    <mergeCell ref="A139:C139"/>
    <mergeCell ref="A140:C140"/>
    <mergeCell ref="H3:I3"/>
    <mergeCell ref="F3:G3"/>
    <mergeCell ref="A133:C133"/>
    <mergeCell ref="A134:C134"/>
    <mergeCell ref="A135:C135"/>
    <mergeCell ref="A136:C136"/>
    <mergeCell ref="A137:C137"/>
    <mergeCell ref="A128:C128"/>
    <mergeCell ref="A129:C129"/>
    <mergeCell ref="A130:C130"/>
    <mergeCell ref="A131:C131"/>
    <mergeCell ref="A132:C132"/>
    <mergeCell ref="A98:C98"/>
  </mergeCells>
  <printOptions horizontalCentered="1"/>
  <pageMargins left="0.19685039370078741" right="0.19685039370078741" top="0.35433070866141736" bottom="0.35433070866141736" header="0.31496062992125984" footer="0.31496062992125984"/>
  <pageSetup paperSize="5" scale="81" fitToHeight="0" orientation="landscape" r:id="rId1"/>
  <rowBreaks count="1" manualBreakCount="1">
    <brk id="27" max="2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E3D3-A6DD-4638-A583-8D5E7CCE5292}">
  <dimension ref="A1:AL213"/>
  <sheetViews>
    <sheetView topLeftCell="P1" zoomScale="85" zoomScaleNormal="85" workbookViewId="0">
      <selection activeCell="AC111" sqref="AC111"/>
    </sheetView>
  </sheetViews>
  <sheetFormatPr defaultRowHeight="13.8" x14ac:dyDescent="0.25"/>
  <cols>
    <col min="1" max="1" width="43" style="207" customWidth="1"/>
    <col min="2" max="4" width="9.6640625" bestFit="1" customWidth="1"/>
    <col min="5" max="6" width="10.44140625" bestFit="1" customWidth="1"/>
    <col min="7" max="21" width="9.6640625" bestFit="1" customWidth="1"/>
    <col min="22" max="22" width="12" bestFit="1" customWidth="1"/>
    <col min="23" max="23" width="14.33203125" bestFit="1" customWidth="1"/>
    <col min="24" max="24" width="9.6640625" bestFit="1" customWidth="1"/>
    <col min="25" max="25" width="13.33203125" bestFit="1" customWidth="1"/>
    <col min="26" max="26" width="14.6640625" bestFit="1" customWidth="1"/>
    <col min="28" max="28" width="24.44140625" bestFit="1" customWidth="1"/>
    <col min="29" max="29" width="14.33203125" bestFit="1" customWidth="1"/>
    <col min="30" max="34" width="15.33203125" bestFit="1" customWidth="1"/>
    <col min="35" max="35" width="9.44140625" bestFit="1" customWidth="1"/>
    <col min="36" max="36" width="16.6640625" bestFit="1" customWidth="1"/>
    <col min="37" max="37" width="12.77734375" style="238" bestFit="1" customWidth="1"/>
    <col min="38" max="38" width="14.33203125" bestFit="1" customWidth="1"/>
  </cols>
  <sheetData>
    <row r="1" spans="1:38" x14ac:dyDescent="0.25">
      <c r="A1" s="208"/>
      <c r="B1" s="209"/>
      <c r="C1" s="209"/>
      <c r="D1" s="209"/>
      <c r="E1" s="209"/>
      <c r="F1" s="210" t="s">
        <v>0</v>
      </c>
      <c r="G1" s="210" t="s">
        <v>1</v>
      </c>
      <c r="H1" s="211" t="s">
        <v>0</v>
      </c>
      <c r="I1" s="211" t="s">
        <v>1</v>
      </c>
      <c r="J1" s="212" t="s">
        <v>0</v>
      </c>
      <c r="K1" s="212" t="s">
        <v>1</v>
      </c>
      <c r="L1" s="213" t="s">
        <v>0</v>
      </c>
      <c r="M1" s="213" t="s">
        <v>1</v>
      </c>
      <c r="N1" s="214" t="s">
        <v>0</v>
      </c>
      <c r="O1" s="214" t="s">
        <v>1</v>
      </c>
      <c r="P1" s="215" t="s">
        <v>0</v>
      </c>
      <c r="Q1" s="215" t="s">
        <v>1</v>
      </c>
      <c r="R1" s="216" t="s">
        <v>0</v>
      </c>
      <c r="S1" s="216" t="s">
        <v>1</v>
      </c>
      <c r="T1" s="217" t="s">
        <v>0</v>
      </c>
      <c r="U1" s="217" t="s">
        <v>1</v>
      </c>
      <c r="V1" s="218" t="s">
        <v>0</v>
      </c>
      <c r="W1" s="218" t="s">
        <v>1</v>
      </c>
      <c r="X1" s="218" t="s">
        <v>0</v>
      </c>
      <c r="Y1" s="218" t="s">
        <v>1</v>
      </c>
      <c r="Z1" s="209"/>
      <c r="AB1" s="210" t="s">
        <v>1</v>
      </c>
      <c r="AC1" s="210" t="s">
        <v>1</v>
      </c>
      <c r="AD1" s="210" t="s">
        <v>1</v>
      </c>
      <c r="AE1" s="210" t="s">
        <v>1</v>
      </c>
      <c r="AF1" s="210" t="s">
        <v>1</v>
      </c>
      <c r="AG1" s="210" t="s">
        <v>1</v>
      </c>
      <c r="AH1" s="210" t="s">
        <v>1</v>
      </c>
      <c r="AI1" s="210" t="s">
        <v>1</v>
      </c>
      <c r="AJ1" s="210" t="s">
        <v>1</v>
      </c>
      <c r="AK1" s="242"/>
    </row>
    <row r="2" spans="1:38" ht="13.5" customHeight="1" x14ac:dyDescent="0.25">
      <c r="A2" s="313" t="s">
        <v>2</v>
      </c>
      <c r="B2" s="313"/>
      <c r="C2" s="313"/>
      <c r="D2" s="313" t="s">
        <v>3</v>
      </c>
      <c r="E2" s="313" t="s">
        <v>77</v>
      </c>
      <c r="F2" s="237" t="s">
        <v>4</v>
      </c>
      <c r="G2" s="237"/>
      <c r="H2" s="236" t="s">
        <v>62</v>
      </c>
      <c r="I2" s="236"/>
      <c r="J2" s="233" t="s">
        <v>63</v>
      </c>
      <c r="K2" s="233"/>
      <c r="L2" s="234" t="s">
        <v>76</v>
      </c>
      <c r="M2" s="234"/>
      <c r="N2" s="235" t="s">
        <v>65</v>
      </c>
      <c r="O2" s="235"/>
      <c r="P2" s="230" t="s">
        <v>66</v>
      </c>
      <c r="Q2" s="230"/>
      <c r="R2" s="231" t="s">
        <v>67</v>
      </c>
      <c r="S2" s="231"/>
      <c r="T2" s="232" t="s">
        <v>123</v>
      </c>
      <c r="U2" s="232"/>
      <c r="V2" s="219" t="s">
        <v>5</v>
      </c>
      <c r="W2" s="219" t="s">
        <v>5</v>
      </c>
      <c r="X2" s="219" t="s">
        <v>5</v>
      </c>
      <c r="Y2" s="219" t="s">
        <v>5</v>
      </c>
      <c r="Z2" s="209"/>
      <c r="AB2" s="237" t="s">
        <v>4</v>
      </c>
      <c r="AC2" s="236" t="s">
        <v>62</v>
      </c>
      <c r="AD2" s="233" t="s">
        <v>63</v>
      </c>
      <c r="AE2" s="234" t="s">
        <v>76</v>
      </c>
      <c r="AF2" s="235" t="s">
        <v>65</v>
      </c>
      <c r="AG2" s="230" t="s">
        <v>66</v>
      </c>
      <c r="AH2" s="231" t="s">
        <v>67</v>
      </c>
      <c r="AI2" s="232" t="s">
        <v>123</v>
      </c>
      <c r="AJ2" s="219" t="s">
        <v>5</v>
      </c>
      <c r="AK2" s="242"/>
    </row>
    <row r="3" spans="1:38" x14ac:dyDescent="0.25">
      <c r="A3" s="313"/>
      <c r="B3" s="313"/>
      <c r="C3" s="313"/>
      <c r="D3" s="313"/>
      <c r="E3" s="313"/>
      <c r="F3" s="220" t="s">
        <v>6</v>
      </c>
      <c r="G3" s="220" t="s">
        <v>6</v>
      </c>
      <c r="H3" s="221" t="s">
        <v>6</v>
      </c>
      <c r="I3" s="221" t="s">
        <v>6</v>
      </c>
      <c r="J3" s="222" t="s">
        <v>6</v>
      </c>
      <c r="K3" s="222" t="s">
        <v>6</v>
      </c>
      <c r="L3" s="223" t="s">
        <v>6</v>
      </c>
      <c r="M3" s="223" t="s">
        <v>6</v>
      </c>
      <c r="N3" s="224" t="s">
        <v>6</v>
      </c>
      <c r="O3" s="224" t="s">
        <v>6</v>
      </c>
      <c r="P3" s="225" t="s">
        <v>6</v>
      </c>
      <c r="Q3" s="225" t="s">
        <v>6</v>
      </c>
      <c r="R3" s="226" t="s">
        <v>6</v>
      </c>
      <c r="S3" s="226" t="s">
        <v>6</v>
      </c>
      <c r="T3" s="227" t="s">
        <v>6</v>
      </c>
      <c r="U3" s="227" t="s">
        <v>6</v>
      </c>
      <c r="V3" s="219" t="s">
        <v>6</v>
      </c>
      <c r="W3" s="219" t="s">
        <v>6</v>
      </c>
      <c r="X3" s="219" t="s">
        <v>124</v>
      </c>
      <c r="Y3" s="219" t="s">
        <v>124</v>
      </c>
      <c r="Z3" s="209"/>
      <c r="AB3" s="220" t="s">
        <v>125</v>
      </c>
      <c r="AC3" s="220" t="s">
        <v>125</v>
      </c>
      <c r="AD3" s="220" t="s">
        <v>125</v>
      </c>
      <c r="AE3" s="220" t="s">
        <v>125</v>
      </c>
      <c r="AF3" s="220" t="s">
        <v>125</v>
      </c>
      <c r="AG3" s="220" t="s">
        <v>125</v>
      </c>
      <c r="AH3" s="220" t="s">
        <v>125</v>
      </c>
      <c r="AI3" s="220" t="s">
        <v>125</v>
      </c>
      <c r="AJ3" s="219" t="s">
        <v>124</v>
      </c>
      <c r="AK3" s="242"/>
    </row>
    <row r="4" spans="1:38" ht="27.6" x14ac:dyDescent="0.25">
      <c r="A4" s="228" t="str">
        <f>+'Table 1'!A28:C28</f>
        <v xml:space="preserve">ITEM NO :1A Excavation for deep trenches for laying rising  </v>
      </c>
      <c r="B4" s="229">
        <f>+'Table 1'!B28:D28</f>
        <v>0</v>
      </c>
      <c r="C4" s="229">
        <f>+'Table 1'!C28:E28</f>
        <v>0</v>
      </c>
      <c r="D4" s="229" t="str">
        <f>+'Table 1'!D28:F28</f>
        <v>CUM</v>
      </c>
      <c r="E4" s="229">
        <f>+'Table 1'!E28:G28</f>
        <v>158.5</v>
      </c>
      <c r="F4" s="229">
        <f>+'Table 1'!F28:H28</f>
        <v>11716.259999999998</v>
      </c>
      <c r="G4" s="229">
        <f>+'Table 1'!G28:I28</f>
        <v>11513.82</v>
      </c>
      <c r="H4" s="229">
        <f>+'Table 1'!H28:J28</f>
        <v>2671.12</v>
      </c>
      <c r="I4" s="229">
        <f>+'Table 1'!I28:K28</f>
        <v>3087.3599999999997</v>
      </c>
      <c r="J4" s="229">
        <f>+'Table 1'!J28:L28</f>
        <v>32587.49</v>
      </c>
      <c r="K4" s="229">
        <f>+'Table 1'!K28:M28</f>
        <v>31295.64</v>
      </c>
      <c r="L4" s="229">
        <f>+'Table 1'!L28:N28</f>
        <v>4417.09</v>
      </c>
      <c r="M4" s="229">
        <f>+'Table 1'!M28:O28</f>
        <v>4366.43</v>
      </c>
      <c r="N4" s="229">
        <f>+'Table 1'!N28:P28</f>
        <v>10505.779999999999</v>
      </c>
      <c r="O4" s="229">
        <f>+'Table 1'!O28:Q28</f>
        <v>10805.03</v>
      </c>
      <c r="P4" s="229">
        <f>+'Table 1'!P28:R28</f>
        <v>26946.240000000002</v>
      </c>
      <c r="Q4" s="229">
        <f>+'Table 1'!Q28:S28</f>
        <v>33610.380000000005</v>
      </c>
      <c r="R4" s="229">
        <f>+'Table 1'!R28:T28</f>
        <v>9185.58</v>
      </c>
      <c r="S4" s="229">
        <f>+'Table 1'!S28:U28</f>
        <v>7924.08</v>
      </c>
      <c r="T4" s="229">
        <f>+'Table 1'!T28:V28</f>
        <v>0</v>
      </c>
      <c r="U4" s="229">
        <f>+'Table 1'!U28:W28</f>
        <v>0</v>
      </c>
      <c r="V4" s="229">
        <f>+'Table 1'!V28:X28</f>
        <v>98029.56</v>
      </c>
      <c r="W4" s="229">
        <f>+'Table 1'!W28:Y28</f>
        <v>15537685.26</v>
      </c>
      <c r="X4" s="229">
        <f>+'Table 1'!X28:Z28</f>
        <v>102602.73999999999</v>
      </c>
      <c r="Y4" s="229">
        <f>+'Table 1'!Y28:AA28</f>
        <v>16262534.289999999</v>
      </c>
      <c r="Z4" s="229">
        <f>+'Table 1'!Z28:AB28</f>
        <v>724849.02999999933</v>
      </c>
      <c r="AA4" s="203"/>
      <c r="AB4" s="239">
        <f>+E$4*G4</f>
        <v>1824940.47</v>
      </c>
      <c r="AC4" s="239">
        <f>+E4*I4</f>
        <v>489346.55999999994</v>
      </c>
      <c r="AD4" s="239">
        <f>+E4*K4</f>
        <v>4960358.9399999995</v>
      </c>
      <c r="AE4" s="239">
        <f>+E4*M4</f>
        <v>692079.15500000003</v>
      </c>
      <c r="AF4" s="239">
        <f>+E4*O4</f>
        <v>1712597.2550000001</v>
      </c>
      <c r="AG4" s="239">
        <f>+E4*Q4</f>
        <v>5327245.2300000004</v>
      </c>
      <c r="AH4" s="239">
        <f>+E4*S4</f>
        <v>1255966.68</v>
      </c>
      <c r="AI4" s="239"/>
      <c r="AJ4" s="239">
        <f>SUM(AB4:AI4)</f>
        <v>16262534.289999999</v>
      </c>
      <c r="AK4" s="238">
        <f>+'Table 1'!Y28</f>
        <v>16262534.289999999</v>
      </c>
      <c r="AL4" s="20">
        <f>+AK4-AJ4</f>
        <v>0</v>
      </c>
    </row>
    <row r="5" spans="1:38" ht="15.6" x14ac:dyDescent="0.25">
      <c r="A5" s="228" t="str">
        <f>+'Table 1'!A29:C29</f>
        <v>ITEM NO : 1B EXCAVATION FOR DEEP TRENCHES</v>
      </c>
      <c r="B5" s="229">
        <f>+'Table 1'!B29:D29</f>
        <v>0</v>
      </c>
      <c r="C5" s="229">
        <f>+'Table 1'!C29:E29</f>
        <v>0</v>
      </c>
      <c r="D5" s="229" t="str">
        <f>+'Table 1'!D29:F29</f>
        <v>CUM</v>
      </c>
      <c r="E5" s="229">
        <f>+'Table 1'!E29:G29</f>
        <v>647.9</v>
      </c>
      <c r="F5" s="229">
        <f>+'Table 1'!F29:H29</f>
        <v>1301.810000000004</v>
      </c>
      <c r="G5" s="229">
        <f>+'Table 1'!G29:I29</f>
        <v>1279.309999999997</v>
      </c>
      <c r="H5" s="229">
        <f>+'Table 1'!H29:J29</f>
        <v>425.82000000000045</v>
      </c>
      <c r="I5" s="229">
        <f>+'Table 1'!I29:K29</f>
        <v>492.19000000000034</v>
      </c>
      <c r="J5" s="229">
        <f>+'Table 1'!J29:L29</f>
        <v>3620.8299999999981</v>
      </c>
      <c r="K5" s="229">
        <f>+'Table 1'!K29:M29</f>
        <v>3477.2900000000072</v>
      </c>
      <c r="L5" s="229">
        <f>+'Table 1'!L29:N29</f>
        <v>490.7900000000003</v>
      </c>
      <c r="M5" s="229">
        <f>+'Table 1'!M29:O29</f>
        <v>485.14999999999986</v>
      </c>
      <c r="N5" s="229">
        <f>+'Table 1'!N29:P29</f>
        <v>1167.3100000000004</v>
      </c>
      <c r="O5" s="229">
        <f>+'Table 1'!O29:Q29</f>
        <v>1200.5499999999977</v>
      </c>
      <c r="P5" s="229">
        <f>+'Table 1'!P29:R29</f>
        <v>2994.0299999999997</v>
      </c>
      <c r="Q5" s="229">
        <f>+'Table 1'!Q29:S29</f>
        <v>3734.4799999999996</v>
      </c>
      <c r="R5" s="229">
        <f>+'Table 1'!R29:T29</f>
        <v>1464.3600000000006</v>
      </c>
      <c r="S5" s="229">
        <f>+'Table 1'!S29:U29</f>
        <v>1263.25</v>
      </c>
      <c r="T5" s="229">
        <f>+'Table 1'!T29:V29</f>
        <v>0</v>
      </c>
      <c r="U5" s="229">
        <f>+'Table 1'!U29:W29</f>
        <v>0</v>
      </c>
      <c r="V5" s="229">
        <f>+'Table 1'!V29:X29</f>
        <v>11464.950000000004</v>
      </c>
      <c r="W5" s="229">
        <f>+'Table 1'!W29:Y29</f>
        <v>7428141.1050000023</v>
      </c>
      <c r="X5" s="229">
        <f>+'Table 1'!X29:Z29</f>
        <v>11932.220000000003</v>
      </c>
      <c r="Y5" s="229">
        <f>+'Table 1'!Y29:AA29</f>
        <v>7730885.3380000014</v>
      </c>
      <c r="Z5" s="229">
        <f>+'Table 1'!Z29:AB29</f>
        <v>302744.23299999908</v>
      </c>
      <c r="AB5" s="239">
        <f>+E5*G5</f>
        <v>828864.94899999804</v>
      </c>
      <c r="AC5" s="239">
        <f t="shared" ref="AC5:AC68" si="0">+E5*I5</f>
        <v>318889.90100000019</v>
      </c>
      <c r="AD5" s="239">
        <f t="shared" ref="AD5:AD68" si="1">+E5*K5</f>
        <v>2252936.1910000048</v>
      </c>
      <c r="AE5" s="239">
        <f t="shared" ref="AE5:AE68" si="2">+E5*M5</f>
        <v>314328.68499999988</v>
      </c>
      <c r="AF5" s="239">
        <f t="shared" ref="AF5:AF68" si="3">+E5*O5</f>
        <v>777836.34499999846</v>
      </c>
      <c r="AG5" s="239">
        <f t="shared" ref="AG5:AG68" si="4">+E5*Q5</f>
        <v>2419569.5919999997</v>
      </c>
      <c r="AH5" s="239">
        <f t="shared" ref="AH5:AH68" si="5">+E5*S5</f>
        <v>818459.67499999993</v>
      </c>
      <c r="AI5" s="239"/>
      <c r="AJ5" s="239">
        <f t="shared" ref="AJ5:AJ68" si="6">SUM(AB5:AI5)</f>
        <v>7730885.3380000005</v>
      </c>
      <c r="AK5" s="238">
        <f>+'Table 1'!Y29</f>
        <v>7730885.3380000014</v>
      </c>
      <c r="AL5" s="20">
        <f t="shared" ref="AL5:AL68" si="7">+AK5-AJ5</f>
        <v>0</v>
      </c>
    </row>
    <row r="6" spans="1:38" ht="15.6" x14ac:dyDescent="0.25">
      <c r="A6" s="228" t="str">
        <f>+'Table 1'!A30:C30</f>
        <v>ITEM NO :2 EXCAVATION IN SOFT STARTA</v>
      </c>
      <c r="B6" s="229">
        <f>+'Table 1'!B30:D30</f>
        <v>0</v>
      </c>
      <c r="C6" s="229">
        <f>+'Table 1'!C30:E30</f>
        <v>0</v>
      </c>
      <c r="D6" s="229" t="str">
        <f>+'Table 1'!D30:F30</f>
        <v>CUM</v>
      </c>
      <c r="E6" s="229">
        <f>+'Table 1'!E30:G30</f>
        <v>106</v>
      </c>
      <c r="F6" s="229">
        <f>+'Table 1'!F30:H30</f>
        <v>440.25</v>
      </c>
      <c r="G6" s="229">
        <f>+'Table 1'!G30:I30</f>
        <v>440.25</v>
      </c>
      <c r="H6" s="229">
        <f>+'Table 1'!H30:J30</f>
        <v>173.95</v>
      </c>
      <c r="I6" s="229">
        <f>+'Table 1'!I30:K30</f>
        <v>173.95</v>
      </c>
      <c r="J6" s="229">
        <f>+'Table 1'!J30:L30</f>
        <v>1079.96</v>
      </c>
      <c r="K6" s="229">
        <f>+'Table 1'!K30:M30</f>
        <v>1079.96</v>
      </c>
      <c r="L6" s="229">
        <f>+'Table 1'!L30:N30</f>
        <v>213.11</v>
      </c>
      <c r="M6" s="229">
        <f>+'Table 1'!M30:O30</f>
        <v>213.11</v>
      </c>
      <c r="N6" s="229">
        <f>+'Table 1'!N30:P30</f>
        <v>580.13</v>
      </c>
      <c r="O6" s="229">
        <f>+'Table 1'!O30:Q30</f>
        <v>580.13</v>
      </c>
      <c r="P6" s="229">
        <f>+'Table 1'!P30:R30</f>
        <v>1903.3</v>
      </c>
      <c r="Q6" s="229">
        <f>+'Table 1'!Q30:S30</f>
        <v>1903.3</v>
      </c>
      <c r="R6" s="229">
        <f>+'Table 1'!R30:T30</f>
        <v>383.59999999999997</v>
      </c>
      <c r="S6" s="229">
        <f>+'Table 1'!S30:U30</f>
        <v>383.59999999999997</v>
      </c>
      <c r="T6" s="229">
        <f>+'Table 1'!T30:V30</f>
        <v>0</v>
      </c>
      <c r="U6" s="229">
        <f>+'Table 1'!U30:W30</f>
        <v>0</v>
      </c>
      <c r="V6" s="229">
        <f>+'Table 1'!V30:X30</f>
        <v>4774.3</v>
      </c>
      <c r="W6" s="229">
        <f>+'Table 1'!W30:Y30</f>
        <v>506075.80000000005</v>
      </c>
      <c r="X6" s="229">
        <f>+'Table 1'!X30:Z30</f>
        <v>4774.3</v>
      </c>
      <c r="Y6" s="229">
        <f>+'Table 1'!Y30:AA30</f>
        <v>506075.80000000005</v>
      </c>
      <c r="Z6" s="229">
        <f>+'Table 1'!Z30:AB30</f>
        <v>0</v>
      </c>
      <c r="AB6" s="239">
        <f>+E6*G6</f>
        <v>46666.5</v>
      </c>
      <c r="AC6" s="239">
        <f t="shared" si="0"/>
        <v>18438.699999999997</v>
      </c>
      <c r="AD6" s="239">
        <f t="shared" si="1"/>
        <v>114475.76000000001</v>
      </c>
      <c r="AE6" s="239">
        <f t="shared" si="2"/>
        <v>22589.66</v>
      </c>
      <c r="AF6" s="239">
        <f t="shared" si="3"/>
        <v>61493.78</v>
      </c>
      <c r="AG6" s="239">
        <f t="shared" si="4"/>
        <v>201749.8</v>
      </c>
      <c r="AH6" s="239">
        <f t="shared" si="5"/>
        <v>40661.599999999999</v>
      </c>
      <c r="AI6" s="239"/>
      <c r="AJ6" s="239">
        <f t="shared" si="6"/>
        <v>506075.8</v>
      </c>
      <c r="AK6" s="238">
        <f>+'Table 1'!Y30</f>
        <v>506075.80000000005</v>
      </c>
      <c r="AL6" s="20">
        <f t="shared" si="7"/>
        <v>0</v>
      </c>
    </row>
    <row r="7" spans="1:38" ht="15.6" x14ac:dyDescent="0.25">
      <c r="A7" s="228" t="str">
        <f>+'Table 1'!A31:C31</f>
        <v>ITEM NO :3 MURUM BEDDING</v>
      </c>
      <c r="B7" s="229">
        <f>+'Table 1'!B31:D31</f>
        <v>0</v>
      </c>
      <c r="C7" s="229">
        <f>+'Table 1'!C31:E31</f>
        <v>0</v>
      </c>
      <c r="D7" s="229" t="str">
        <f>+'Table 1'!D31:F31</f>
        <v>CUM</v>
      </c>
      <c r="E7" s="229">
        <f>+'Table 1'!E31:G31</f>
        <v>242.9</v>
      </c>
      <c r="F7" s="229">
        <f>+'Table 1'!F31:H31</f>
        <v>1232.18</v>
      </c>
      <c r="G7" s="229">
        <f>+'Table 1'!G31:I31</f>
        <v>1162.29</v>
      </c>
      <c r="H7" s="229">
        <f>+'Table 1'!H31:J31</f>
        <v>291.06</v>
      </c>
      <c r="I7" s="229">
        <f>+'Table 1'!I31:K31</f>
        <v>344.91</v>
      </c>
      <c r="J7" s="229">
        <f>+'Table 1'!J31:L31</f>
        <v>3475.72</v>
      </c>
      <c r="K7" s="229">
        <f>+'Table 1'!K31:M31</f>
        <v>3357.1</v>
      </c>
      <c r="L7" s="229">
        <f>+'Table 1'!L31:N31</f>
        <v>548.26</v>
      </c>
      <c r="M7" s="229">
        <f>+'Table 1'!M31:O31</f>
        <v>541.6</v>
      </c>
      <c r="N7" s="229">
        <f>+'Table 1'!N31:P31</f>
        <v>1236.26</v>
      </c>
      <c r="O7" s="229">
        <f>+'Table 1'!O31:Q31</f>
        <v>1303.58</v>
      </c>
      <c r="P7" s="229">
        <f>+'Table 1'!P31:R31</f>
        <v>3144.86</v>
      </c>
      <c r="Q7" s="229">
        <f>+'Table 1'!Q31:S31</f>
        <v>3898.66</v>
      </c>
      <c r="R7" s="229">
        <f>+'Table 1'!R31:T31</f>
        <v>1098.31</v>
      </c>
      <c r="S7" s="229">
        <f>+'Table 1'!S31:U31</f>
        <v>13766.764000000003</v>
      </c>
      <c r="T7" s="229">
        <f>+'Table 1'!T31:V31</f>
        <v>0</v>
      </c>
      <c r="U7" s="229">
        <f>+'Table 1'!U31:W31</f>
        <v>0</v>
      </c>
      <c r="V7" s="229">
        <f>+'Table 1'!V31:X31</f>
        <v>11026.65</v>
      </c>
      <c r="W7" s="229">
        <f>+'Table 1'!W31:Y31</f>
        <v>2678373.2850000001</v>
      </c>
      <c r="X7" s="229">
        <f>+'Table 1'!X31:Z31</f>
        <v>24374.903999999999</v>
      </c>
      <c r="Y7" s="229">
        <f>+'Table 1'!Y31:AA31</f>
        <v>5920664.1815999998</v>
      </c>
      <c r="Z7" s="229">
        <f>+'Table 1'!Z31:AB31</f>
        <v>3242290.8965999996</v>
      </c>
      <c r="AB7" s="239">
        <f>+E7*G7</f>
        <v>282320.24099999998</v>
      </c>
      <c r="AC7" s="239">
        <f t="shared" si="0"/>
        <v>83778.63900000001</v>
      </c>
      <c r="AD7" s="239">
        <f t="shared" si="1"/>
        <v>815439.59</v>
      </c>
      <c r="AE7" s="239">
        <f t="shared" si="2"/>
        <v>131554.64000000001</v>
      </c>
      <c r="AF7" s="239">
        <f t="shared" si="3"/>
        <v>316639.58199999999</v>
      </c>
      <c r="AG7" s="239">
        <f t="shared" si="4"/>
        <v>946984.51399999997</v>
      </c>
      <c r="AH7" s="239">
        <f t="shared" si="5"/>
        <v>3343946.9756000009</v>
      </c>
      <c r="AI7" s="239"/>
      <c r="AJ7" s="239">
        <f t="shared" si="6"/>
        <v>5920664.1816000007</v>
      </c>
      <c r="AK7" s="238">
        <f>+'Table 1'!Y31</f>
        <v>5920664.1815999998</v>
      </c>
      <c r="AL7" s="20">
        <f t="shared" si="7"/>
        <v>0</v>
      </c>
    </row>
    <row r="8" spans="1:38" ht="15.6" x14ac:dyDescent="0.25">
      <c r="A8" s="228" t="str">
        <f>+'Table 1'!A32:C32</f>
        <v>ITEM NO : 4 BACKFILLING</v>
      </c>
      <c r="B8" s="229">
        <f>+'Table 1'!B32:D32</f>
        <v>0</v>
      </c>
      <c r="C8" s="229">
        <f>+'Table 1'!C32:E32</f>
        <v>0</v>
      </c>
      <c r="D8" s="229" t="str">
        <f>+'Table 1'!D32:F32</f>
        <v>CUM</v>
      </c>
      <c r="E8" s="229">
        <f>+'Table 1'!E32:G32</f>
        <v>47.3</v>
      </c>
      <c r="F8" s="229">
        <f>+'Table 1'!F32:H32</f>
        <v>7454.7312224999978</v>
      </c>
      <c r="G8" s="229">
        <f>+'Table 1'!G32:I32</f>
        <v>7315.9051876250014</v>
      </c>
      <c r="H8" s="229">
        <f>+'Table 1'!H32:J32</f>
        <v>1751.3999999999999</v>
      </c>
      <c r="I8" s="229">
        <f>+'Table 1'!I32:K32</f>
        <v>2011.4700000000003</v>
      </c>
      <c r="J8" s="229">
        <f>+'Table 1'!J32:L32</f>
        <v>19744.876552124999</v>
      </c>
      <c r="K8" s="229">
        <f>+'Table 1'!K32:M32</f>
        <v>19011.946098375003</v>
      </c>
      <c r="L8" s="229">
        <f>+'Table 1'!L32:N32</f>
        <v>2633.8249139999998</v>
      </c>
      <c r="M8" s="229">
        <f>+'Table 1'!M32:O32</f>
        <v>2603.2669680000008</v>
      </c>
      <c r="N8" s="229">
        <f>+'Table 1'!N32:P32</f>
        <v>6273.5360066249996</v>
      </c>
      <c r="O8" s="229">
        <f>+'Table 1'!O32:Q32</f>
        <v>6488.7398778750003</v>
      </c>
      <c r="P8" s="229">
        <f>+'Table 1'!P32:R32</f>
        <v>16362.96</v>
      </c>
      <c r="Q8" s="229">
        <f>+'Table 1'!Q32:S32</f>
        <v>20244.75</v>
      </c>
      <c r="R8" s="229">
        <f>+'Table 1'!R32:T32</f>
        <v>5680.3031291250009</v>
      </c>
      <c r="S8" s="229">
        <f>+'Table 1'!S32:U32</f>
        <v>4931.7524795000008</v>
      </c>
      <c r="T8" s="229">
        <f>+'Table 1'!T32:V32</f>
        <v>0</v>
      </c>
      <c r="U8" s="229">
        <f>+'Table 1'!U32:W32</f>
        <v>0</v>
      </c>
      <c r="V8" s="229">
        <f>+'Table 1'!V32:X32</f>
        <v>59901.631824374999</v>
      </c>
      <c r="W8" s="229">
        <f>+'Table 1'!W32:Y32</f>
        <v>2833347.1852929373</v>
      </c>
      <c r="X8" s="229">
        <f>+'Table 1'!X32:Z32</f>
        <v>62607.830611375008</v>
      </c>
      <c r="Y8" s="229">
        <f>+'Table 1'!Y32:AA32</f>
        <v>2961350.3879180378</v>
      </c>
      <c r="Z8" s="229">
        <f>+'Table 1'!Z32:AB32</f>
        <v>128003.2026251005</v>
      </c>
      <c r="AB8" s="239">
        <f t="shared" ref="AB8:AB71" si="8">+E8*G8</f>
        <v>346042.31537466252</v>
      </c>
      <c r="AC8" s="239">
        <f t="shared" si="0"/>
        <v>95142.531000000003</v>
      </c>
      <c r="AD8" s="239">
        <f t="shared" si="1"/>
        <v>899265.05045313761</v>
      </c>
      <c r="AE8" s="239">
        <f t="shared" si="2"/>
        <v>123134.52758640003</v>
      </c>
      <c r="AF8" s="239">
        <f t="shared" si="3"/>
        <v>306917.39622348751</v>
      </c>
      <c r="AG8" s="239">
        <f t="shared" si="4"/>
        <v>957576.67499999993</v>
      </c>
      <c r="AH8" s="239">
        <f t="shared" si="5"/>
        <v>233271.89228035003</v>
      </c>
      <c r="AI8" s="239"/>
      <c r="AJ8" s="239">
        <f t="shared" si="6"/>
        <v>2961350.3879180378</v>
      </c>
      <c r="AK8" s="238">
        <f>+'Table 1'!Y32</f>
        <v>2961350.3879180378</v>
      </c>
      <c r="AL8" s="20">
        <f t="shared" si="7"/>
        <v>0</v>
      </c>
    </row>
    <row r="9" spans="1:38" ht="15.6" x14ac:dyDescent="0.25">
      <c r="A9" s="228" t="str">
        <f>+'Table 1'!A33:C33</f>
        <v>ITEM NO :5 RUBBLE SOLLING BELOW</v>
      </c>
      <c r="B9" s="229">
        <f>+'Table 1'!B33:D33</f>
        <v>0</v>
      </c>
      <c r="C9" s="229">
        <f>+'Table 1'!C33:E33</f>
        <v>0</v>
      </c>
      <c r="D9" s="229" t="str">
        <f>+'Table 1'!D33:F33</f>
        <v>CUM</v>
      </c>
      <c r="E9" s="229">
        <f>+'Table 1'!E33:G33</f>
        <v>1973</v>
      </c>
      <c r="F9" s="229">
        <f>+'Table 1'!F33:H33</f>
        <v>39.94</v>
      </c>
      <c r="G9" s="229">
        <f>+'Table 1'!G33:I33</f>
        <v>39.94</v>
      </c>
      <c r="H9" s="229">
        <f>+'Table 1'!H33:J33</f>
        <v>20.7</v>
      </c>
      <c r="I9" s="229">
        <f>+'Table 1'!I33:K33</f>
        <v>20.7</v>
      </c>
      <c r="J9" s="229">
        <f>+'Table 1'!J33:L33</f>
        <v>98.02</v>
      </c>
      <c r="K9" s="229">
        <f>+'Table 1'!K33:M33</f>
        <v>98.02</v>
      </c>
      <c r="L9" s="229">
        <f>+'Table 1'!L33:N33</f>
        <v>24.740000000000002</v>
      </c>
      <c r="M9" s="229">
        <f>+'Table 1'!M33:O33</f>
        <v>24.740000000000002</v>
      </c>
      <c r="N9" s="229">
        <f>+'Table 1'!N33:P33</f>
        <v>58.62</v>
      </c>
      <c r="O9" s="229">
        <f>+'Table 1'!O33:Q33</f>
        <v>58.62</v>
      </c>
      <c r="P9" s="229">
        <f>+'Table 1'!P33:R33</f>
        <v>171.45999999999998</v>
      </c>
      <c r="Q9" s="229">
        <f>+'Table 1'!Q33:S33</f>
        <v>171.45999999999998</v>
      </c>
      <c r="R9" s="229">
        <f>+'Table 1'!R33:T33</f>
        <v>41.58</v>
      </c>
      <c r="S9" s="229">
        <f>+'Table 1'!S33:U33</f>
        <v>41.58</v>
      </c>
      <c r="T9" s="229">
        <f>+'Table 1'!T33:V33</f>
        <v>0</v>
      </c>
      <c r="U9" s="229">
        <f>+'Table 1'!U33:W33</f>
        <v>0</v>
      </c>
      <c r="V9" s="229">
        <f>+'Table 1'!V33:X33</f>
        <v>455.05999999999995</v>
      </c>
      <c r="W9" s="229">
        <f>+'Table 1'!W33:Y33</f>
        <v>897833.37999999989</v>
      </c>
      <c r="X9" s="229">
        <f>+'Table 1'!X33:Z33</f>
        <v>455.05999999999995</v>
      </c>
      <c r="Y9" s="229">
        <f>+'Table 1'!Y33:AA33</f>
        <v>897833.37999999989</v>
      </c>
      <c r="Z9" s="229">
        <f>+'Table 1'!Z33:AB33</f>
        <v>0</v>
      </c>
      <c r="AB9" s="239">
        <f t="shared" si="8"/>
        <v>78801.62</v>
      </c>
      <c r="AC9" s="239">
        <f t="shared" si="0"/>
        <v>40841.1</v>
      </c>
      <c r="AD9" s="239">
        <f t="shared" si="1"/>
        <v>193393.46</v>
      </c>
      <c r="AE9" s="239">
        <f t="shared" si="2"/>
        <v>48812.020000000004</v>
      </c>
      <c r="AF9" s="239">
        <f t="shared" si="3"/>
        <v>115657.26</v>
      </c>
      <c r="AG9" s="239">
        <f t="shared" si="4"/>
        <v>338290.57999999996</v>
      </c>
      <c r="AH9" s="239">
        <f t="shared" si="5"/>
        <v>82037.34</v>
      </c>
      <c r="AI9" s="239"/>
      <c r="AJ9" s="239">
        <f t="shared" si="6"/>
        <v>897833.38</v>
      </c>
      <c r="AK9" s="238">
        <f>+'Table 1'!Y33</f>
        <v>897833.37999999989</v>
      </c>
      <c r="AL9" s="20">
        <f t="shared" si="7"/>
        <v>0</v>
      </c>
    </row>
    <row r="10" spans="1:38" ht="15.6" x14ac:dyDescent="0.25">
      <c r="A10" s="228" t="str">
        <f>+'Table 1'!A34:C34</f>
        <v>ITEM NO :6 SAND BEDDING</v>
      </c>
      <c r="B10" s="229">
        <f>+'Table 1'!B34:D34</f>
        <v>0</v>
      </c>
      <c r="C10" s="229">
        <f>+'Table 1'!C34:E34</f>
        <v>0</v>
      </c>
      <c r="D10" s="229" t="str">
        <f>+'Table 1'!D34:F34</f>
        <v>CUM</v>
      </c>
      <c r="E10" s="229">
        <f>+'Table 1'!E34:G34</f>
        <v>1276.25</v>
      </c>
      <c r="F10" s="229">
        <f>+'Table 1'!F34:H34</f>
        <v>364.4</v>
      </c>
      <c r="G10" s="229">
        <f>+'Table 1'!G34:I34</f>
        <v>343.14000000000016</v>
      </c>
      <c r="H10" s="229">
        <f>+'Table 1'!H34:J34</f>
        <v>98.509999999999991</v>
      </c>
      <c r="I10" s="229">
        <f>+'Table 1'!I34:K34</f>
        <v>111.98000000000008</v>
      </c>
      <c r="J10" s="229">
        <f>+'Table 1'!J34:L34</f>
        <v>1004.2000000000007</v>
      </c>
      <c r="K10" s="229">
        <f>+'Table 1'!K34:M34</f>
        <v>974.54</v>
      </c>
      <c r="L10" s="229">
        <f>+'Table 1'!L34:N34</f>
        <v>168.75000000000006</v>
      </c>
      <c r="M10" s="229">
        <f>+'Table 1'!M34:O34</f>
        <v>167.07999999999998</v>
      </c>
      <c r="N10" s="229">
        <f>+'Table 1'!N34:P34</f>
        <v>382.83999999999992</v>
      </c>
      <c r="O10" s="229">
        <f>+'Table 1'!O34:Q34</f>
        <v>400.93000000000006</v>
      </c>
      <c r="P10" s="229">
        <f>+'Table 1'!P34:R34</f>
        <v>994.92000000000053</v>
      </c>
      <c r="Q10" s="229">
        <f>+'Table 1'!Q34:S34</f>
        <v>1192.22</v>
      </c>
      <c r="R10" s="229">
        <f>+'Table 1'!R34:T34</f>
        <v>327.51999999999992</v>
      </c>
      <c r="S10" s="229">
        <f>+'Table 1'!S34:U34</f>
        <v>298.86000000000007</v>
      </c>
      <c r="T10" s="229">
        <f>+'Table 1'!T34:V34</f>
        <v>0</v>
      </c>
      <c r="U10" s="229">
        <f>+'Table 1'!U34:W34</f>
        <v>0</v>
      </c>
      <c r="V10" s="229">
        <f>+'Table 1'!V34:X34</f>
        <v>3341.1400000000017</v>
      </c>
      <c r="W10" s="229">
        <f>+'Table 1'!W34:Y34</f>
        <v>4264129.9250000026</v>
      </c>
      <c r="X10" s="229">
        <f>+'Table 1'!X34:Z34</f>
        <v>3488.7500000000005</v>
      </c>
      <c r="Y10" s="229">
        <f>+'Table 1'!Y34:AA34</f>
        <v>4452517.1875000009</v>
      </c>
      <c r="Z10" s="229">
        <f>+'Table 1'!Z34:AB34</f>
        <v>188387.26249999832</v>
      </c>
      <c r="AB10" s="239">
        <f t="shared" si="8"/>
        <v>437932.42500000022</v>
      </c>
      <c r="AC10" s="239">
        <f t="shared" si="0"/>
        <v>142914.47500000009</v>
      </c>
      <c r="AD10" s="239">
        <f t="shared" si="1"/>
        <v>1243756.675</v>
      </c>
      <c r="AE10" s="239">
        <f t="shared" si="2"/>
        <v>213235.84999999998</v>
      </c>
      <c r="AF10" s="239">
        <f t="shared" si="3"/>
        <v>511686.91250000009</v>
      </c>
      <c r="AG10" s="239">
        <f t="shared" si="4"/>
        <v>1521570.7750000001</v>
      </c>
      <c r="AH10" s="239">
        <f t="shared" si="5"/>
        <v>381420.07500000007</v>
      </c>
      <c r="AI10" s="239"/>
      <c r="AJ10" s="239">
        <f t="shared" si="6"/>
        <v>4452517.1875000009</v>
      </c>
      <c r="AK10" s="238">
        <f>+'Table 1'!Y34</f>
        <v>4452517.1875000009</v>
      </c>
      <c r="AL10" s="20">
        <f t="shared" si="7"/>
        <v>0</v>
      </c>
    </row>
    <row r="11" spans="1:38" ht="15.6" x14ac:dyDescent="0.25">
      <c r="A11" s="228">
        <f>+'Table 1'!A35:C35</f>
        <v>0</v>
      </c>
      <c r="B11" s="229">
        <f>+'Table 1'!B35:D35</f>
        <v>0</v>
      </c>
      <c r="C11" s="229">
        <f>+'Table 1'!C35:E35</f>
        <v>0</v>
      </c>
      <c r="D11" s="229">
        <f>+'Table 1'!D35:F35</f>
        <v>0</v>
      </c>
      <c r="E11" s="229">
        <f>+'Table 1'!E35:G35</f>
        <v>0</v>
      </c>
      <c r="F11" s="229">
        <f>+'Table 1'!F35:H35</f>
        <v>0</v>
      </c>
      <c r="G11" s="229">
        <f>+'Table 1'!G35:I35</f>
        <v>0</v>
      </c>
      <c r="H11" s="229">
        <f>+'Table 1'!H35:J35</f>
        <v>0</v>
      </c>
      <c r="I11" s="229">
        <f>+'Table 1'!I35:K35</f>
        <v>0</v>
      </c>
      <c r="J11" s="229">
        <f>+'Table 1'!J35:L35</f>
        <v>0</v>
      </c>
      <c r="K11" s="229">
        <f>+'Table 1'!K35:M35</f>
        <v>0</v>
      </c>
      <c r="L11" s="229">
        <f>+'Table 1'!L35:N35</f>
        <v>0</v>
      </c>
      <c r="M11" s="229">
        <f>+'Table 1'!M35:O35</f>
        <v>0</v>
      </c>
      <c r="N11" s="229">
        <f>+'Table 1'!N35:P35</f>
        <v>0</v>
      </c>
      <c r="O11" s="229">
        <f>+'Table 1'!O35:Q35</f>
        <v>0</v>
      </c>
      <c r="P11" s="229">
        <f>+'Table 1'!P35:R35</f>
        <v>0</v>
      </c>
      <c r="Q11" s="229">
        <f>+'Table 1'!Q35:S35</f>
        <v>0</v>
      </c>
      <c r="R11" s="229">
        <f>+'Table 1'!R35:T35</f>
        <v>0</v>
      </c>
      <c r="S11" s="229">
        <f>+'Table 1'!S35:U35</f>
        <v>0</v>
      </c>
      <c r="T11" s="229">
        <f>+'Table 1'!T35:V35</f>
        <v>0</v>
      </c>
      <c r="U11" s="229">
        <f>+'Table 1'!U35:W35</f>
        <v>0</v>
      </c>
      <c r="V11" s="229">
        <f>+'Table 1'!V35:X35</f>
        <v>0</v>
      </c>
      <c r="W11" s="229">
        <f>+'Table 1'!W35:Y35</f>
        <v>0</v>
      </c>
      <c r="X11" s="229">
        <f>+'Table 1'!X35:Z35</f>
        <v>0</v>
      </c>
      <c r="Y11" s="229">
        <f>+'Table 1'!Y35:AA35</f>
        <v>0</v>
      </c>
      <c r="Z11" s="229">
        <f>+'Table 1'!Z35:AB35</f>
        <v>0</v>
      </c>
      <c r="AB11" s="239">
        <f t="shared" si="8"/>
        <v>0</v>
      </c>
      <c r="AC11" s="239">
        <f t="shared" si="0"/>
        <v>0</v>
      </c>
      <c r="AD11" s="239">
        <f t="shared" si="1"/>
        <v>0</v>
      </c>
      <c r="AE11" s="239">
        <f t="shared" si="2"/>
        <v>0</v>
      </c>
      <c r="AF11" s="239">
        <f t="shared" si="3"/>
        <v>0</v>
      </c>
      <c r="AG11" s="239">
        <f t="shared" si="4"/>
        <v>0</v>
      </c>
      <c r="AH11" s="239">
        <f t="shared" si="5"/>
        <v>0</v>
      </c>
      <c r="AI11" s="239"/>
      <c r="AJ11" s="239">
        <f t="shared" si="6"/>
        <v>0</v>
      </c>
      <c r="AK11" s="238">
        <f>+'Table 1'!Y35</f>
        <v>0</v>
      </c>
      <c r="AL11" s="20">
        <f t="shared" si="7"/>
        <v>0</v>
      </c>
    </row>
    <row r="12" spans="1:38" ht="15.6" x14ac:dyDescent="0.25">
      <c r="A12" s="228" t="str">
        <f>+'Table 1'!A36:C36</f>
        <v>ITEM NO 7</v>
      </c>
      <c r="B12" s="229">
        <f>+'Table 1'!B36:D36</f>
        <v>0</v>
      </c>
      <c r="C12" s="229">
        <f>+'Table 1'!C36:E36</f>
        <v>0</v>
      </c>
      <c r="D12" s="229">
        <f>+'Table 1'!D36:F36</f>
        <v>0</v>
      </c>
      <c r="E12" s="229">
        <f>+'Table 1'!E36:G36</f>
        <v>0</v>
      </c>
      <c r="F12" s="229">
        <f>+'Table 1'!F36:H36</f>
        <v>0</v>
      </c>
      <c r="G12" s="229">
        <f>+'Table 1'!G36:I36</f>
        <v>0</v>
      </c>
      <c r="H12" s="229">
        <f>+'Table 1'!H36:J36</f>
        <v>0</v>
      </c>
      <c r="I12" s="229">
        <f>+'Table 1'!I36:K36</f>
        <v>0</v>
      </c>
      <c r="J12" s="229">
        <f>+'Table 1'!J36:L36</f>
        <v>0</v>
      </c>
      <c r="K12" s="229">
        <f>+'Table 1'!K36:M36</f>
        <v>0</v>
      </c>
      <c r="L12" s="229">
        <f>+'Table 1'!L36:N36</f>
        <v>0</v>
      </c>
      <c r="M12" s="229">
        <f>+'Table 1'!M36:O36</f>
        <v>0</v>
      </c>
      <c r="N12" s="229">
        <f>+'Table 1'!N36:P36</f>
        <v>0</v>
      </c>
      <c r="O12" s="229">
        <f>+'Table 1'!O36:Q36</f>
        <v>0</v>
      </c>
      <c r="P12" s="229">
        <f>+'Table 1'!P36:R36</f>
        <v>0</v>
      </c>
      <c r="Q12" s="229">
        <f>+'Table 1'!Q36:S36</f>
        <v>0</v>
      </c>
      <c r="R12" s="229">
        <f>+'Table 1'!R36:T36</f>
        <v>0</v>
      </c>
      <c r="S12" s="229">
        <f>+'Table 1'!S36:U36</f>
        <v>0</v>
      </c>
      <c r="T12" s="229">
        <f>+'Table 1'!T36:V36</f>
        <v>0</v>
      </c>
      <c r="U12" s="229">
        <f>+'Table 1'!U36:W36</f>
        <v>0</v>
      </c>
      <c r="V12" s="229">
        <f>+'Table 1'!V36:X36</f>
        <v>0</v>
      </c>
      <c r="W12" s="229">
        <f>+'Table 1'!W36:Y36</f>
        <v>0</v>
      </c>
      <c r="X12" s="229">
        <f>+'Table 1'!X36:Z36</f>
        <v>0</v>
      </c>
      <c r="Y12" s="229">
        <f>+'Table 1'!Y36:AA36</f>
        <v>0</v>
      </c>
      <c r="Z12" s="229">
        <f>+'Table 1'!Z36:AB36</f>
        <v>0</v>
      </c>
      <c r="AB12" s="239">
        <f t="shared" si="8"/>
        <v>0</v>
      </c>
      <c r="AC12" s="239">
        <f t="shared" si="0"/>
        <v>0</v>
      </c>
      <c r="AD12" s="239">
        <f t="shared" si="1"/>
        <v>0</v>
      </c>
      <c r="AE12" s="239">
        <f t="shared" si="2"/>
        <v>0</v>
      </c>
      <c r="AF12" s="239">
        <f t="shared" si="3"/>
        <v>0</v>
      </c>
      <c r="AG12" s="239">
        <f t="shared" si="4"/>
        <v>0</v>
      </c>
      <c r="AH12" s="239">
        <f t="shared" si="5"/>
        <v>0</v>
      </c>
      <c r="AI12" s="239"/>
      <c r="AJ12" s="239">
        <f t="shared" si="6"/>
        <v>0</v>
      </c>
      <c r="AK12" s="238">
        <f>+'Table 1'!Y36</f>
        <v>0</v>
      </c>
      <c r="AL12" s="20">
        <f t="shared" si="7"/>
        <v>0</v>
      </c>
    </row>
    <row r="13" spans="1:38" ht="15.6" x14ac:dyDescent="0.25">
      <c r="A13" s="228">
        <f>+'Table 1'!A37:C37</f>
        <v>0</v>
      </c>
      <c r="B13" s="229">
        <f>+'Table 1'!B37:D37</f>
        <v>110</v>
      </c>
      <c r="C13" s="229" t="str">
        <f>+'Table 1'!C37:E37</f>
        <v xml:space="preserve">mm </v>
      </c>
      <c r="D13" s="229" t="str">
        <f>+'Table 1'!D37:F37</f>
        <v>Rmt</v>
      </c>
      <c r="E13" s="229">
        <f>+'Table 1'!E37:G37</f>
        <v>329.2</v>
      </c>
      <c r="F13" s="229">
        <f>+'Table 1'!F37:H37</f>
        <v>884</v>
      </c>
      <c r="G13" s="229">
        <f>+'Table 1'!G37:I37</f>
        <v>0</v>
      </c>
      <c r="H13" s="229">
        <f>+'Table 1'!H37:J37</f>
        <v>0</v>
      </c>
      <c r="I13" s="229">
        <f>+'Table 1'!I37:K37</f>
        <v>0</v>
      </c>
      <c r="J13" s="229">
        <f>+'Table 1'!J37:L37</f>
        <v>208</v>
      </c>
      <c r="K13" s="229">
        <f>+'Table 1'!K37:M37</f>
        <v>0</v>
      </c>
      <c r="L13" s="229">
        <f>+'Table 1'!L37:N37</f>
        <v>0</v>
      </c>
      <c r="M13" s="229">
        <f>+'Table 1'!M37:O37</f>
        <v>0</v>
      </c>
      <c r="N13" s="229">
        <f>+'Table 1'!N37:P37</f>
        <v>0</v>
      </c>
      <c r="O13" s="229">
        <f>+'Table 1'!O37:Q37</f>
        <v>0</v>
      </c>
      <c r="P13" s="229">
        <f>+'Table 1'!P37:R37</f>
        <v>0</v>
      </c>
      <c r="Q13" s="229">
        <f>+'Table 1'!Q37:S37</f>
        <v>0</v>
      </c>
      <c r="R13" s="229">
        <f>+'Table 1'!R37:T37</f>
        <v>0</v>
      </c>
      <c r="S13" s="229">
        <f>+'Table 1'!S37:U37</f>
        <v>0</v>
      </c>
      <c r="T13" s="229">
        <f>+'Table 1'!T37:V37</f>
        <v>0</v>
      </c>
      <c r="U13" s="229">
        <f>+'Table 1'!U37:W37</f>
        <v>0</v>
      </c>
      <c r="V13" s="229">
        <f>+'Table 1'!V37:X37</f>
        <v>1092</v>
      </c>
      <c r="W13" s="229">
        <f>+'Table 1'!W37:Y37</f>
        <v>359486.39999999997</v>
      </c>
      <c r="X13" s="229">
        <f>+'Table 1'!X37:Z37</f>
        <v>0</v>
      </c>
      <c r="Y13" s="229">
        <f>+'Table 1'!Y37:AA37</f>
        <v>0</v>
      </c>
      <c r="Z13" s="229">
        <f>+'Table 1'!Z37:AB37</f>
        <v>-359486.39999999997</v>
      </c>
      <c r="AB13" s="239">
        <f t="shared" si="8"/>
        <v>0</v>
      </c>
      <c r="AC13" s="239">
        <f t="shared" si="0"/>
        <v>0</v>
      </c>
      <c r="AD13" s="239">
        <f t="shared" si="1"/>
        <v>0</v>
      </c>
      <c r="AE13" s="239">
        <f t="shared" si="2"/>
        <v>0</v>
      </c>
      <c r="AF13" s="239">
        <f t="shared" si="3"/>
        <v>0</v>
      </c>
      <c r="AG13" s="239">
        <f t="shared" si="4"/>
        <v>0</v>
      </c>
      <c r="AH13" s="239">
        <f t="shared" si="5"/>
        <v>0</v>
      </c>
      <c r="AI13" s="239"/>
      <c r="AJ13" s="239">
        <f t="shared" si="6"/>
        <v>0</v>
      </c>
      <c r="AK13" s="238">
        <f>+'Table 1'!Y37</f>
        <v>0</v>
      </c>
      <c r="AL13" s="20">
        <f t="shared" si="7"/>
        <v>0</v>
      </c>
    </row>
    <row r="14" spans="1:38" ht="15.6" x14ac:dyDescent="0.25">
      <c r="A14" s="228">
        <f>+'Table 1'!A38:C38</f>
        <v>0</v>
      </c>
      <c r="B14" s="229">
        <f>+'Table 1'!B38:D38</f>
        <v>125</v>
      </c>
      <c r="C14" s="229" t="str">
        <f>+'Table 1'!C38:E38</f>
        <v xml:space="preserve">mm </v>
      </c>
      <c r="D14" s="229" t="str">
        <f>+'Table 1'!D38:F38</f>
        <v>Rmt</v>
      </c>
      <c r="E14" s="229">
        <f>+'Table 1'!E38:G38</f>
        <v>394.9</v>
      </c>
      <c r="F14" s="229">
        <f>+'Table 1'!F38:H38</f>
        <v>1542</v>
      </c>
      <c r="G14" s="229">
        <f>+'Table 1'!G38:I38</f>
        <v>0</v>
      </c>
      <c r="H14" s="229">
        <f>+'Table 1'!H38:J38</f>
        <v>0</v>
      </c>
      <c r="I14" s="229">
        <f>+'Table 1'!I38:K38</f>
        <v>0</v>
      </c>
      <c r="J14" s="229">
        <f>+'Table 1'!J38:L38</f>
        <v>2239</v>
      </c>
      <c r="K14" s="229">
        <f>+'Table 1'!K38:M38</f>
        <v>0</v>
      </c>
      <c r="L14" s="229">
        <f>+'Table 1'!L38:N38</f>
        <v>856</v>
      </c>
      <c r="M14" s="229">
        <f>+'Table 1'!M38:O38</f>
        <v>0</v>
      </c>
      <c r="N14" s="229">
        <f>+'Table 1'!N38:P38</f>
        <v>0</v>
      </c>
      <c r="O14" s="229">
        <f>+'Table 1'!O38:Q38</f>
        <v>0</v>
      </c>
      <c r="P14" s="229">
        <f>+'Table 1'!P38:R38</f>
        <v>0</v>
      </c>
      <c r="Q14" s="229">
        <f>+'Table 1'!Q38:S38</f>
        <v>0</v>
      </c>
      <c r="R14" s="229">
        <f>+'Table 1'!R38:T38</f>
        <v>0</v>
      </c>
      <c r="S14" s="229">
        <f>+'Table 1'!S38:U38</f>
        <v>0</v>
      </c>
      <c r="T14" s="229">
        <f>+'Table 1'!T38:V38</f>
        <v>0</v>
      </c>
      <c r="U14" s="229">
        <f>+'Table 1'!U38:W38</f>
        <v>0</v>
      </c>
      <c r="V14" s="229">
        <f>+'Table 1'!V38:X38</f>
        <v>4637</v>
      </c>
      <c r="W14" s="229">
        <f>+'Table 1'!W38:Y38</f>
        <v>1831151.2999999998</v>
      </c>
      <c r="X14" s="229">
        <f>+'Table 1'!X38:Z38</f>
        <v>0</v>
      </c>
      <c r="Y14" s="229">
        <f>+'Table 1'!Y38:AA38</f>
        <v>0</v>
      </c>
      <c r="Z14" s="229">
        <f>+'Table 1'!Z38:AB38</f>
        <v>-1831151.2999999998</v>
      </c>
      <c r="AB14" s="239">
        <f t="shared" si="8"/>
        <v>0</v>
      </c>
      <c r="AC14" s="239">
        <f t="shared" si="0"/>
        <v>0</v>
      </c>
      <c r="AD14" s="239">
        <f t="shared" si="1"/>
        <v>0</v>
      </c>
      <c r="AE14" s="239">
        <f t="shared" si="2"/>
        <v>0</v>
      </c>
      <c r="AF14" s="239">
        <f t="shared" si="3"/>
        <v>0</v>
      </c>
      <c r="AG14" s="239">
        <f t="shared" si="4"/>
        <v>0</v>
      </c>
      <c r="AH14" s="239">
        <f t="shared" si="5"/>
        <v>0</v>
      </c>
      <c r="AI14" s="239"/>
      <c r="AJ14" s="239">
        <f t="shared" si="6"/>
        <v>0</v>
      </c>
      <c r="AK14" s="238">
        <f>+'Table 1'!Y38</f>
        <v>0</v>
      </c>
      <c r="AL14" s="20">
        <f t="shared" si="7"/>
        <v>0</v>
      </c>
    </row>
    <row r="15" spans="1:38" ht="15.6" x14ac:dyDescent="0.25">
      <c r="A15" s="228">
        <f>+'Table 1'!A39:C39</f>
        <v>0</v>
      </c>
      <c r="B15" s="229">
        <f>+'Table 1'!B39:D39</f>
        <v>140</v>
      </c>
      <c r="C15" s="229" t="str">
        <f>+'Table 1'!C39:E39</f>
        <v xml:space="preserve">mm </v>
      </c>
      <c r="D15" s="229" t="str">
        <f>+'Table 1'!D39:F39</f>
        <v>Rmt</v>
      </c>
      <c r="E15" s="229">
        <f>+'Table 1'!E39:G39</f>
        <v>487.35</v>
      </c>
      <c r="F15" s="229">
        <f>+'Table 1'!F39:H39</f>
        <v>327</v>
      </c>
      <c r="G15" s="229">
        <f>+'Table 1'!G39:I39</f>
        <v>1291.3</v>
      </c>
      <c r="H15" s="229">
        <f>+'Table 1'!H39:J39</f>
        <v>476</v>
      </c>
      <c r="I15" s="229">
        <f>+'Table 1'!I39:K39</f>
        <v>1216</v>
      </c>
      <c r="J15" s="229">
        <f>+'Table 1'!J39:L39</f>
        <v>4731</v>
      </c>
      <c r="K15" s="229">
        <f>+'Table 1'!K39:M39</f>
        <v>6810</v>
      </c>
      <c r="L15" s="229">
        <f>+'Table 1'!L39:N39</f>
        <v>447</v>
      </c>
      <c r="M15" s="229">
        <f>+'Table 1'!M39:O39</f>
        <v>1587</v>
      </c>
      <c r="N15" s="229">
        <f>+'Table 1'!N39:P39</f>
        <v>3205</v>
      </c>
      <c r="O15" s="229">
        <f>+'Table 1'!O39:Q39</f>
        <v>2527</v>
      </c>
      <c r="P15" s="229">
        <f>+'Table 1'!P39:R39</f>
        <v>6659</v>
      </c>
      <c r="Q15" s="229">
        <f>+'Table 1'!Q39:S39</f>
        <v>7194</v>
      </c>
      <c r="R15" s="229">
        <f>+'Table 1'!R39:T39</f>
        <v>586</v>
      </c>
      <c r="S15" s="229">
        <f>+'Table 1'!S39:U39</f>
        <v>1827</v>
      </c>
      <c r="T15" s="229">
        <f>+'Table 1'!T39:V39</f>
        <v>0</v>
      </c>
      <c r="U15" s="229">
        <f>+'Table 1'!U39:W39</f>
        <v>0</v>
      </c>
      <c r="V15" s="229">
        <f>+'Table 1'!V39:X39</f>
        <v>16431</v>
      </c>
      <c r="W15" s="229">
        <f>+'Table 1'!W39:Y39</f>
        <v>8007647.8500000006</v>
      </c>
      <c r="X15" s="229">
        <f>+'Table 1'!X39:Z39</f>
        <v>22452.3</v>
      </c>
      <c r="Y15" s="229">
        <f>+'Table 1'!Y39:AA39</f>
        <v>10942128.404999999</v>
      </c>
      <c r="Z15" s="229">
        <f>+'Table 1'!Z39:AB39</f>
        <v>2934480.5549999988</v>
      </c>
      <c r="AB15" s="239">
        <f t="shared" si="8"/>
        <v>629315.05500000005</v>
      </c>
      <c r="AC15" s="239">
        <f t="shared" si="0"/>
        <v>592617.6</v>
      </c>
      <c r="AD15" s="239">
        <f t="shared" si="1"/>
        <v>3318853.5</v>
      </c>
      <c r="AE15" s="239">
        <f t="shared" si="2"/>
        <v>773424.45000000007</v>
      </c>
      <c r="AF15" s="239">
        <f t="shared" si="3"/>
        <v>1231533.45</v>
      </c>
      <c r="AG15" s="239">
        <f t="shared" si="4"/>
        <v>3505995.9000000004</v>
      </c>
      <c r="AH15" s="239">
        <f t="shared" si="5"/>
        <v>890388.45000000007</v>
      </c>
      <c r="AI15" s="239"/>
      <c r="AJ15" s="239">
        <f t="shared" si="6"/>
        <v>10942128.405000001</v>
      </c>
      <c r="AK15" s="238">
        <f>+'Table 1'!Y39</f>
        <v>10942128.404999999</v>
      </c>
      <c r="AL15" s="20">
        <f t="shared" si="7"/>
        <v>0</v>
      </c>
    </row>
    <row r="16" spans="1:38" ht="15.6" x14ac:dyDescent="0.25">
      <c r="A16" s="228">
        <f>+'Table 1'!A40:C40</f>
        <v>0</v>
      </c>
      <c r="B16" s="229">
        <f>+'Table 1'!B40:D40</f>
        <v>160</v>
      </c>
      <c r="C16" s="229" t="str">
        <f>+'Table 1'!C40:E40</f>
        <v xml:space="preserve">mm </v>
      </c>
      <c r="D16" s="229" t="str">
        <f>+'Table 1'!D40:F40</f>
        <v>Rmt</v>
      </c>
      <c r="E16" s="229">
        <f>+'Table 1'!E40:G40</f>
        <v>616.95000000000005</v>
      </c>
      <c r="F16" s="229">
        <f>+'Table 1'!F40:H40</f>
        <v>664</v>
      </c>
      <c r="G16" s="229">
        <f>+'Table 1'!G40:I40</f>
        <v>383.03</v>
      </c>
      <c r="H16" s="229">
        <f>+'Table 1'!H40:J40</f>
        <v>888</v>
      </c>
      <c r="I16" s="229">
        <f>+'Table 1'!I40:K40</f>
        <v>0</v>
      </c>
      <c r="J16" s="229">
        <f>+'Table 1'!J40:L40</f>
        <v>780</v>
      </c>
      <c r="K16" s="229">
        <f>+'Table 1'!K40:M40</f>
        <v>1458</v>
      </c>
      <c r="L16" s="229">
        <f>+'Table 1'!L40:N40</f>
        <v>0</v>
      </c>
      <c r="M16" s="229">
        <f>+'Table 1'!M40:O40</f>
        <v>0</v>
      </c>
      <c r="N16" s="229">
        <f>+'Table 1'!N40:P40</f>
        <v>944</v>
      </c>
      <c r="O16" s="229">
        <f>+'Table 1'!O40:Q40</f>
        <v>705</v>
      </c>
      <c r="P16" s="229">
        <f>+'Table 1'!P40:R40</f>
        <v>589</v>
      </c>
      <c r="Q16" s="229">
        <f>+'Table 1'!Q40:S40</f>
        <v>919</v>
      </c>
      <c r="R16" s="229">
        <f>+'Table 1'!R40:T40</f>
        <v>1324</v>
      </c>
      <c r="S16" s="229">
        <f>+'Table 1'!S40:U40</f>
        <v>866</v>
      </c>
      <c r="T16" s="229">
        <f>+'Table 1'!T40:V40</f>
        <v>0</v>
      </c>
      <c r="U16" s="229">
        <f>+'Table 1'!U40:W40</f>
        <v>0</v>
      </c>
      <c r="V16" s="229">
        <f>+'Table 1'!V40:X40</f>
        <v>5189</v>
      </c>
      <c r="W16" s="229">
        <f>+'Table 1'!W40:Y40</f>
        <v>3201353.5500000003</v>
      </c>
      <c r="X16" s="229">
        <f>+'Table 1'!X40:Z40</f>
        <v>4331.03</v>
      </c>
      <c r="Y16" s="229">
        <f>+'Table 1'!Y40:AA40</f>
        <v>2672028.9585000002</v>
      </c>
      <c r="Z16" s="229">
        <f>+'Table 1'!Z40:AB40</f>
        <v>-529324.5915000001</v>
      </c>
      <c r="AB16" s="239">
        <f t="shared" si="8"/>
        <v>236310.3585</v>
      </c>
      <c r="AC16" s="239">
        <f t="shared" si="0"/>
        <v>0</v>
      </c>
      <c r="AD16" s="239">
        <f t="shared" si="1"/>
        <v>899513.10000000009</v>
      </c>
      <c r="AE16" s="239">
        <f t="shared" si="2"/>
        <v>0</v>
      </c>
      <c r="AF16" s="239">
        <f t="shared" si="3"/>
        <v>434949.75000000006</v>
      </c>
      <c r="AG16" s="239">
        <f t="shared" si="4"/>
        <v>566977.05000000005</v>
      </c>
      <c r="AH16" s="239">
        <f t="shared" si="5"/>
        <v>534278.70000000007</v>
      </c>
      <c r="AI16" s="239"/>
      <c r="AJ16" s="239">
        <f t="shared" si="6"/>
        <v>2672028.9585000006</v>
      </c>
      <c r="AK16" s="238">
        <f>+'Table 1'!Y40</f>
        <v>2672028.9585000002</v>
      </c>
      <c r="AL16" s="20">
        <f t="shared" si="7"/>
        <v>0</v>
      </c>
    </row>
    <row r="17" spans="1:38" ht="15.6" x14ac:dyDescent="0.25">
      <c r="A17" s="228">
        <f>+'Table 1'!A41:C41</f>
        <v>0</v>
      </c>
      <c r="B17" s="229">
        <f>+'Table 1'!B41:D41</f>
        <v>180</v>
      </c>
      <c r="C17" s="229" t="str">
        <f>+'Table 1'!C41:E41</f>
        <v xml:space="preserve">mm </v>
      </c>
      <c r="D17" s="229" t="str">
        <f>+'Table 1'!D41:F41</f>
        <v>Rmt</v>
      </c>
      <c r="E17" s="229">
        <f>+'Table 1'!E41:G41</f>
        <v>757.95</v>
      </c>
      <c r="F17" s="229">
        <f>+'Table 1'!F41:H41</f>
        <v>1043</v>
      </c>
      <c r="G17" s="229">
        <f>+'Table 1'!G41:I41</f>
        <v>610.01</v>
      </c>
      <c r="H17" s="229">
        <f>+'Table 1'!H41:J41</f>
        <v>465</v>
      </c>
      <c r="I17" s="229">
        <f>+'Table 1'!I41:K41</f>
        <v>0</v>
      </c>
      <c r="J17" s="229">
        <f>+'Table 1'!J41:L41</f>
        <v>993</v>
      </c>
      <c r="K17" s="229">
        <f>+'Table 1'!K41:M41</f>
        <v>1336</v>
      </c>
      <c r="L17" s="229">
        <f>+'Table 1'!L41:N41</f>
        <v>322</v>
      </c>
      <c r="M17" s="229">
        <f>+'Table 1'!M41:O41</f>
        <v>0</v>
      </c>
      <c r="N17" s="229">
        <f>+'Table 1'!N41:P41</f>
        <v>350</v>
      </c>
      <c r="O17" s="229">
        <f>+'Table 1'!O41:Q41</f>
        <v>227</v>
      </c>
      <c r="P17" s="229">
        <f>+'Table 1'!P41:R41</f>
        <v>529</v>
      </c>
      <c r="Q17" s="229">
        <f>+'Table 1'!Q41:S41</f>
        <v>1712</v>
      </c>
      <c r="R17" s="229">
        <f>+'Table 1'!R41:T41</f>
        <v>109</v>
      </c>
      <c r="S17" s="229">
        <f>+'Table 1'!S41:U41</f>
        <v>200</v>
      </c>
      <c r="T17" s="229">
        <f>+'Table 1'!T41:V41</f>
        <v>0</v>
      </c>
      <c r="U17" s="229">
        <f>+'Table 1'!U41:W41</f>
        <v>0</v>
      </c>
      <c r="V17" s="229">
        <f>+'Table 1'!V41:X41</f>
        <v>3811</v>
      </c>
      <c r="W17" s="229">
        <f>+'Table 1'!W41:Y41</f>
        <v>2888547.45</v>
      </c>
      <c r="X17" s="229">
        <f>+'Table 1'!X41:Z41</f>
        <v>4085.01</v>
      </c>
      <c r="Y17" s="229">
        <f>+'Table 1'!Y41:AA41</f>
        <v>3096233.3295000005</v>
      </c>
      <c r="Z17" s="229">
        <f>+'Table 1'!Z41:AB41</f>
        <v>207685.87950000027</v>
      </c>
      <c r="AB17" s="239">
        <f t="shared" si="8"/>
        <v>462357.07949999999</v>
      </c>
      <c r="AC17" s="239">
        <f t="shared" si="0"/>
        <v>0</v>
      </c>
      <c r="AD17" s="239">
        <f t="shared" si="1"/>
        <v>1012621.2000000001</v>
      </c>
      <c r="AE17" s="239">
        <f t="shared" si="2"/>
        <v>0</v>
      </c>
      <c r="AF17" s="239">
        <f t="shared" si="3"/>
        <v>172054.65000000002</v>
      </c>
      <c r="AG17" s="239">
        <f t="shared" si="4"/>
        <v>1297610.4000000001</v>
      </c>
      <c r="AH17" s="239">
        <f t="shared" si="5"/>
        <v>151590</v>
      </c>
      <c r="AI17" s="239"/>
      <c r="AJ17" s="239">
        <f t="shared" si="6"/>
        <v>3096233.3295</v>
      </c>
      <c r="AK17" s="238">
        <f>+'Table 1'!Y41</f>
        <v>3096233.3295000005</v>
      </c>
      <c r="AL17" s="20">
        <f t="shared" si="7"/>
        <v>0</v>
      </c>
    </row>
    <row r="18" spans="1:38" ht="15.6" x14ac:dyDescent="0.25">
      <c r="A18" s="228">
        <f>+'Table 1'!A42:C42</f>
        <v>0</v>
      </c>
      <c r="B18" s="229">
        <f>+'Table 1'!B42:D42</f>
        <v>200</v>
      </c>
      <c r="C18" s="229" t="str">
        <f>+'Table 1'!C42:E42</f>
        <v xml:space="preserve">mm </v>
      </c>
      <c r="D18" s="229" t="str">
        <f>+'Table 1'!D42:F42</f>
        <v>Rmt</v>
      </c>
      <c r="E18" s="229">
        <f>+'Table 1'!E42:G42</f>
        <v>922.4</v>
      </c>
      <c r="F18" s="229">
        <f>+'Table 1'!F42:H42</f>
        <v>836</v>
      </c>
      <c r="G18" s="229">
        <f>+'Table 1'!G42:I42</f>
        <v>417.52</v>
      </c>
      <c r="H18" s="229">
        <f>+'Table 1'!H42:J42</f>
        <v>0</v>
      </c>
      <c r="I18" s="229">
        <f>+'Table 1'!I42:K42</f>
        <v>355</v>
      </c>
      <c r="J18" s="229">
        <f>+'Table 1'!J42:L42</f>
        <v>0</v>
      </c>
      <c r="K18" s="229">
        <f>+'Table 1'!K42:M42</f>
        <v>583</v>
      </c>
      <c r="L18" s="229">
        <f>+'Table 1'!L42:N42</f>
        <v>0</v>
      </c>
      <c r="M18" s="229">
        <f>+'Table 1'!M42:O42</f>
        <v>94</v>
      </c>
      <c r="N18" s="229">
        <f>+'Table 1'!N42:P42</f>
        <v>287</v>
      </c>
      <c r="O18" s="229">
        <f>+'Table 1'!O42:Q42</f>
        <v>1250</v>
      </c>
      <c r="P18" s="229">
        <f>+'Table 1'!P42:R42</f>
        <v>591</v>
      </c>
      <c r="Q18" s="229">
        <f>+'Table 1'!Q42:S42</f>
        <v>824</v>
      </c>
      <c r="R18" s="229">
        <f>+'Table 1'!R42:T42</f>
        <v>169</v>
      </c>
      <c r="S18" s="229">
        <f>+'Table 1'!S42:U42</f>
        <v>461</v>
      </c>
      <c r="T18" s="229">
        <f>+'Table 1'!T42:V42</f>
        <v>0</v>
      </c>
      <c r="U18" s="229">
        <f>+'Table 1'!U42:W42</f>
        <v>0</v>
      </c>
      <c r="V18" s="229">
        <f>+'Table 1'!V42:X42</f>
        <v>1883</v>
      </c>
      <c r="W18" s="229">
        <f>+'Table 1'!W42:Y42</f>
        <v>1736879.2</v>
      </c>
      <c r="X18" s="229">
        <f>+'Table 1'!X42:Z42</f>
        <v>3984.52</v>
      </c>
      <c r="Y18" s="229">
        <f>+'Table 1'!Y42:AA42</f>
        <v>3675321.2479999997</v>
      </c>
      <c r="Z18" s="229">
        <f>+'Table 1'!Z42:AB42</f>
        <v>1938442.0479999997</v>
      </c>
      <c r="AB18" s="239">
        <f t="shared" si="8"/>
        <v>385120.44799999997</v>
      </c>
      <c r="AC18" s="239">
        <f t="shared" si="0"/>
        <v>327452</v>
      </c>
      <c r="AD18" s="239">
        <f t="shared" si="1"/>
        <v>537759.19999999995</v>
      </c>
      <c r="AE18" s="239">
        <f t="shared" si="2"/>
        <v>86705.599999999991</v>
      </c>
      <c r="AF18" s="239">
        <f t="shared" si="3"/>
        <v>1153000</v>
      </c>
      <c r="AG18" s="239">
        <f t="shared" si="4"/>
        <v>760057.6</v>
      </c>
      <c r="AH18" s="239">
        <f t="shared" si="5"/>
        <v>425226.39999999997</v>
      </c>
      <c r="AI18" s="239"/>
      <c r="AJ18" s="239">
        <f t="shared" si="6"/>
        <v>3675321.2480000001</v>
      </c>
      <c r="AK18" s="238">
        <f>+'Table 1'!Y42</f>
        <v>3675321.2479999997</v>
      </c>
      <c r="AL18" s="20">
        <f t="shared" si="7"/>
        <v>0</v>
      </c>
    </row>
    <row r="19" spans="1:38" ht="15.6" x14ac:dyDescent="0.25">
      <c r="A19" s="228">
        <f>+'Table 1'!A43:C43</f>
        <v>0</v>
      </c>
      <c r="B19" s="229">
        <f>+'Table 1'!B43:D43</f>
        <v>225</v>
      </c>
      <c r="C19" s="229" t="str">
        <f>+'Table 1'!C43:E43</f>
        <v xml:space="preserve">mm </v>
      </c>
      <c r="D19" s="229" t="str">
        <f>+'Table 1'!D43:F43</f>
        <v>Rmt</v>
      </c>
      <c r="E19" s="229">
        <f>+'Table 1'!E43:G43</f>
        <v>1171</v>
      </c>
      <c r="F19" s="229">
        <f>+'Table 1'!F43:H43</f>
        <v>264</v>
      </c>
      <c r="G19" s="229">
        <f>+'Table 1'!G43:I43</f>
        <v>114.35</v>
      </c>
      <c r="H19" s="229">
        <f>+'Table 1'!H43:J43</f>
        <v>0</v>
      </c>
      <c r="I19" s="229">
        <f>+'Table 1'!I43:K43</f>
        <v>90</v>
      </c>
      <c r="J19" s="229">
        <f>+'Table 1'!J43:L43</f>
        <v>484</v>
      </c>
      <c r="K19" s="229">
        <f>+'Table 1'!K43:M43</f>
        <v>720</v>
      </c>
      <c r="L19" s="229">
        <f>+'Table 1'!L43:N43</f>
        <v>0</v>
      </c>
      <c r="M19" s="229">
        <f>+'Table 1'!M43:O43</f>
        <v>0</v>
      </c>
      <c r="N19" s="229">
        <f>+'Table 1'!N43:P43</f>
        <v>0</v>
      </c>
      <c r="O19" s="229">
        <f>+'Table 1'!O43:Q43</f>
        <v>584</v>
      </c>
      <c r="P19" s="229">
        <f>+'Table 1'!P43:R43</f>
        <v>1272</v>
      </c>
      <c r="Q19" s="229">
        <f>+'Table 1'!Q43:S43</f>
        <v>1360</v>
      </c>
      <c r="R19" s="229">
        <f>+'Table 1'!R43:T43</f>
        <v>822</v>
      </c>
      <c r="S19" s="229">
        <f>+'Table 1'!S43:U43</f>
        <v>0</v>
      </c>
      <c r="T19" s="229">
        <f>+'Table 1'!T43:V43</f>
        <v>0</v>
      </c>
      <c r="U19" s="229">
        <f>+'Table 1'!U43:W43</f>
        <v>0</v>
      </c>
      <c r="V19" s="229">
        <f>+'Table 1'!V43:X43</f>
        <v>2842</v>
      </c>
      <c r="W19" s="229">
        <f>+'Table 1'!W43:Y43</f>
        <v>3327982</v>
      </c>
      <c r="X19" s="229">
        <f>+'Table 1'!X43:Z43</f>
        <v>2868.35</v>
      </c>
      <c r="Y19" s="229">
        <f>+'Table 1'!Y43:AA43</f>
        <v>3358837.85</v>
      </c>
      <c r="Z19" s="229">
        <f>+'Table 1'!Z43:AB43</f>
        <v>30855.850000000093</v>
      </c>
      <c r="AB19" s="239">
        <f t="shared" si="8"/>
        <v>133903.85</v>
      </c>
      <c r="AC19" s="239">
        <f t="shared" si="0"/>
        <v>105390</v>
      </c>
      <c r="AD19" s="239">
        <f t="shared" si="1"/>
        <v>843120</v>
      </c>
      <c r="AE19" s="239">
        <f t="shared" si="2"/>
        <v>0</v>
      </c>
      <c r="AF19" s="239">
        <f t="shared" si="3"/>
        <v>683864</v>
      </c>
      <c r="AG19" s="239">
        <f t="shared" si="4"/>
        <v>1592560</v>
      </c>
      <c r="AH19" s="239">
        <f t="shared" si="5"/>
        <v>0</v>
      </c>
      <c r="AI19" s="239"/>
      <c r="AJ19" s="239">
        <f t="shared" si="6"/>
        <v>3358837.85</v>
      </c>
      <c r="AK19" s="238">
        <f>+'Table 1'!Y43</f>
        <v>3358837.85</v>
      </c>
      <c r="AL19" s="20">
        <f t="shared" si="7"/>
        <v>0</v>
      </c>
    </row>
    <row r="20" spans="1:38" ht="15.6" x14ac:dyDescent="0.25">
      <c r="A20" s="228">
        <f>+'Table 1'!A44:C44</f>
        <v>0</v>
      </c>
      <c r="B20" s="229">
        <f>+'Table 1'!B44:D44</f>
        <v>250</v>
      </c>
      <c r="C20" s="229" t="str">
        <f>+'Table 1'!C44:E44</f>
        <v xml:space="preserve">mm </v>
      </c>
      <c r="D20" s="229" t="str">
        <f>+'Table 1'!D44:F44</f>
        <v>Rmt</v>
      </c>
      <c r="E20" s="229">
        <f>+'Table 1'!E44:G44</f>
        <v>1411.8</v>
      </c>
      <c r="F20" s="229">
        <f>+'Table 1'!F44:H44</f>
        <v>175</v>
      </c>
      <c r="G20" s="229">
        <f>+'Table 1'!G44:I44</f>
        <v>133.37</v>
      </c>
      <c r="H20" s="229">
        <f>+'Table 1'!H44:J44</f>
        <v>0</v>
      </c>
      <c r="I20" s="229">
        <f>+'Table 1'!I44:K44</f>
        <v>472</v>
      </c>
      <c r="J20" s="229">
        <f>+'Table 1'!J44:L44</f>
        <v>127</v>
      </c>
      <c r="K20" s="229">
        <f>+'Table 1'!K44:M44</f>
        <v>478</v>
      </c>
      <c r="L20" s="229">
        <f>+'Table 1'!L44:N44</f>
        <v>219</v>
      </c>
      <c r="M20" s="229">
        <f>+'Table 1'!M44:O44</f>
        <v>211</v>
      </c>
      <c r="N20" s="229">
        <f>+'Table 1'!N44:P44</f>
        <v>0</v>
      </c>
      <c r="O20" s="229">
        <f>+'Table 1'!O44:Q44</f>
        <v>236</v>
      </c>
      <c r="P20" s="229">
        <f>+'Table 1'!P44:R44</f>
        <v>860</v>
      </c>
      <c r="Q20" s="229">
        <f>+'Table 1'!Q44:S44</f>
        <v>635</v>
      </c>
      <c r="R20" s="229">
        <f>+'Table 1'!R44:T44</f>
        <v>144</v>
      </c>
      <c r="S20" s="229">
        <f>+'Table 1'!S44:U44</f>
        <v>299</v>
      </c>
      <c r="T20" s="229">
        <f>+'Table 1'!T44:V44</f>
        <v>0</v>
      </c>
      <c r="U20" s="229">
        <f>+'Table 1'!U44:W44</f>
        <v>0</v>
      </c>
      <c r="V20" s="229">
        <f>+'Table 1'!V44:X44</f>
        <v>1525</v>
      </c>
      <c r="W20" s="229">
        <f>+'Table 1'!W44:Y44</f>
        <v>2152995</v>
      </c>
      <c r="X20" s="229">
        <f>+'Table 1'!X44:Z44</f>
        <v>2464.37</v>
      </c>
      <c r="Y20" s="229">
        <f>+'Table 1'!Y44:AA44</f>
        <v>3479197.5659999996</v>
      </c>
      <c r="Z20" s="229">
        <f>+'Table 1'!Z44:AB44</f>
        <v>1326202.5659999996</v>
      </c>
      <c r="AB20" s="239">
        <f t="shared" si="8"/>
        <v>188291.766</v>
      </c>
      <c r="AC20" s="239">
        <f t="shared" si="0"/>
        <v>666369.6</v>
      </c>
      <c r="AD20" s="239">
        <f t="shared" si="1"/>
        <v>674840.4</v>
      </c>
      <c r="AE20" s="239">
        <f t="shared" si="2"/>
        <v>297889.8</v>
      </c>
      <c r="AF20" s="239">
        <f t="shared" si="3"/>
        <v>333184.8</v>
      </c>
      <c r="AG20" s="239">
        <f t="shared" si="4"/>
        <v>896493</v>
      </c>
      <c r="AH20" s="239">
        <f t="shared" si="5"/>
        <v>422128.2</v>
      </c>
      <c r="AI20" s="239"/>
      <c r="AJ20" s="239">
        <f t="shared" si="6"/>
        <v>3479197.5660000001</v>
      </c>
      <c r="AK20" s="238">
        <f>+'Table 1'!Y44</f>
        <v>3479197.5659999996</v>
      </c>
      <c r="AL20" s="20">
        <f t="shared" si="7"/>
        <v>0</v>
      </c>
    </row>
    <row r="21" spans="1:38" ht="15.6" x14ac:dyDescent="0.25">
      <c r="A21" s="228">
        <f>+'Table 1'!A45:C45</f>
        <v>0</v>
      </c>
      <c r="B21" s="229">
        <f>+'Table 1'!B45:D45</f>
        <v>280</v>
      </c>
      <c r="C21" s="229" t="str">
        <f>+'Table 1'!C45:E45</f>
        <v xml:space="preserve">mm </v>
      </c>
      <c r="D21" s="229" t="str">
        <f>+'Table 1'!D45:F45</f>
        <v>Rmt</v>
      </c>
      <c r="E21" s="229">
        <f>+'Table 1'!E45:G45</f>
        <v>1762.25</v>
      </c>
      <c r="F21" s="229">
        <f>+'Table 1'!F45:H45</f>
        <v>232</v>
      </c>
      <c r="G21" s="229">
        <f>+'Table 1'!G45:I45</f>
        <v>1008.39</v>
      </c>
      <c r="H21" s="229">
        <f>+'Table 1'!H45:J45</f>
        <v>313</v>
      </c>
      <c r="I21" s="229">
        <f>+'Table 1'!I45:K45</f>
        <v>0</v>
      </c>
      <c r="J21" s="229">
        <f>+'Table 1'!J45:L45</f>
        <v>439</v>
      </c>
      <c r="K21" s="229">
        <f>+'Table 1'!K45:M45</f>
        <v>388</v>
      </c>
      <c r="L21" s="229">
        <f>+'Table 1'!L45:N45</f>
        <v>140</v>
      </c>
      <c r="M21" s="229">
        <f>+'Table 1'!M45:O45</f>
        <v>232</v>
      </c>
      <c r="N21" s="229">
        <f>+'Table 1'!N45:P45</f>
        <v>235</v>
      </c>
      <c r="O21" s="229">
        <f>+'Table 1'!O45:Q45</f>
        <v>0</v>
      </c>
      <c r="P21" s="229">
        <f>+'Table 1'!P45:R45</f>
        <v>1040</v>
      </c>
      <c r="Q21" s="229">
        <f>+'Table 1'!Q45:S45</f>
        <v>744</v>
      </c>
      <c r="R21" s="229">
        <f>+'Table 1'!R45:T45</f>
        <v>0</v>
      </c>
      <c r="S21" s="229">
        <f>+'Table 1'!S45:U45</f>
        <v>237</v>
      </c>
      <c r="T21" s="229">
        <f>+'Table 1'!T45:V45</f>
        <v>0</v>
      </c>
      <c r="U21" s="229">
        <f>+'Table 1'!U45:W45</f>
        <v>0</v>
      </c>
      <c r="V21" s="229">
        <f>+'Table 1'!V45:X45</f>
        <v>2399</v>
      </c>
      <c r="W21" s="229">
        <f>+'Table 1'!W45:Y45</f>
        <v>4227637.75</v>
      </c>
      <c r="X21" s="229">
        <f>+'Table 1'!X45:Z45</f>
        <v>2609.39</v>
      </c>
      <c r="Y21" s="229">
        <f>+'Table 1'!Y45:AA45</f>
        <v>4598397.5274999999</v>
      </c>
      <c r="Z21" s="229">
        <f>+'Table 1'!Z45:AB45</f>
        <v>370759.77749999985</v>
      </c>
      <c r="AB21" s="239">
        <f t="shared" si="8"/>
        <v>1777035.2775000001</v>
      </c>
      <c r="AC21" s="239">
        <f t="shared" si="0"/>
        <v>0</v>
      </c>
      <c r="AD21" s="239">
        <f t="shared" si="1"/>
        <v>683753</v>
      </c>
      <c r="AE21" s="239">
        <f t="shared" si="2"/>
        <v>408842</v>
      </c>
      <c r="AF21" s="239">
        <f t="shared" si="3"/>
        <v>0</v>
      </c>
      <c r="AG21" s="239">
        <f t="shared" si="4"/>
        <v>1311114</v>
      </c>
      <c r="AH21" s="239">
        <f t="shared" si="5"/>
        <v>417653.25</v>
      </c>
      <c r="AI21" s="239"/>
      <c r="AJ21" s="239">
        <f t="shared" si="6"/>
        <v>4598397.5274999999</v>
      </c>
      <c r="AK21" s="238">
        <f>+'Table 1'!Y45</f>
        <v>4598397.5274999999</v>
      </c>
      <c r="AL21" s="20">
        <f t="shared" si="7"/>
        <v>0</v>
      </c>
    </row>
    <row r="22" spans="1:38" ht="15.6" x14ac:dyDescent="0.25">
      <c r="A22" s="228">
        <f>+'Table 1'!A46:C46</f>
        <v>0</v>
      </c>
      <c r="B22" s="229">
        <f>+'Table 1'!B46:D46</f>
        <v>315</v>
      </c>
      <c r="C22" s="229" t="str">
        <f>+'Table 1'!C46:E46</f>
        <v xml:space="preserve">mm </v>
      </c>
      <c r="D22" s="229" t="str">
        <f>+'Table 1'!D46:F46</f>
        <v>Rmt</v>
      </c>
      <c r="E22" s="229">
        <f>+'Table 1'!E46:G46</f>
        <v>2218.75</v>
      </c>
      <c r="F22" s="229">
        <f>+'Table 1'!F46:H46</f>
        <v>0</v>
      </c>
      <c r="G22" s="229">
        <f>+'Table 1'!G46:I46</f>
        <v>0</v>
      </c>
      <c r="H22" s="229">
        <f>+'Table 1'!H46:J46</f>
        <v>0</v>
      </c>
      <c r="I22" s="229">
        <f>+'Table 1'!I46:K46</f>
        <v>268</v>
      </c>
      <c r="J22" s="229">
        <f>+'Table 1'!J46:L46</f>
        <v>348</v>
      </c>
      <c r="K22" s="229">
        <f>+'Table 1'!K46:M46</f>
        <v>169</v>
      </c>
      <c r="L22" s="229">
        <f>+'Table 1'!L46:N46</f>
        <v>609</v>
      </c>
      <c r="M22" s="229">
        <f>+'Table 1'!M46:O46</f>
        <v>168</v>
      </c>
      <c r="N22" s="229">
        <f>+'Table 1'!N46:P46</f>
        <v>0</v>
      </c>
      <c r="O22" s="229">
        <f>+'Table 1'!O46:Q46</f>
        <v>184</v>
      </c>
      <c r="P22" s="229">
        <f>+'Table 1'!P46:R46</f>
        <v>1429</v>
      </c>
      <c r="Q22" s="229">
        <f>+'Table 1'!Q46:S46</f>
        <v>1640</v>
      </c>
      <c r="R22" s="229">
        <f>+'Table 1'!R46:T46</f>
        <v>123</v>
      </c>
      <c r="S22" s="229">
        <f>+'Table 1'!S46:U46</f>
        <v>0</v>
      </c>
      <c r="T22" s="229">
        <f>+'Table 1'!T46:V46</f>
        <v>0</v>
      </c>
      <c r="U22" s="229">
        <f>+'Table 1'!U46:W46</f>
        <v>0</v>
      </c>
      <c r="V22" s="229">
        <f>+'Table 1'!V46:X46</f>
        <v>2509</v>
      </c>
      <c r="W22" s="229">
        <f>+'Table 1'!W46:Y46</f>
        <v>5566843.75</v>
      </c>
      <c r="X22" s="229">
        <f>+'Table 1'!X46:Z46</f>
        <v>2429</v>
      </c>
      <c r="Y22" s="229">
        <f>+'Table 1'!Y46:AA46</f>
        <v>5389343.75</v>
      </c>
      <c r="Z22" s="229">
        <f>+'Table 1'!Z46:AB46</f>
        <v>-177500</v>
      </c>
      <c r="AB22" s="239">
        <f t="shared" si="8"/>
        <v>0</v>
      </c>
      <c r="AC22" s="239">
        <f t="shared" si="0"/>
        <v>594625</v>
      </c>
      <c r="AD22" s="239">
        <f t="shared" si="1"/>
        <v>374968.75</v>
      </c>
      <c r="AE22" s="239">
        <f t="shared" si="2"/>
        <v>372750</v>
      </c>
      <c r="AF22" s="239">
        <f t="shared" si="3"/>
        <v>408250</v>
      </c>
      <c r="AG22" s="239">
        <f t="shared" si="4"/>
        <v>3638750</v>
      </c>
      <c r="AH22" s="239">
        <f t="shared" si="5"/>
        <v>0</v>
      </c>
      <c r="AI22" s="239"/>
      <c r="AJ22" s="239">
        <f t="shared" si="6"/>
        <v>5389343.75</v>
      </c>
      <c r="AK22" s="238">
        <f>+'Table 1'!Y46</f>
        <v>5389343.75</v>
      </c>
      <c r="AL22" s="20">
        <f t="shared" si="7"/>
        <v>0</v>
      </c>
    </row>
    <row r="23" spans="1:38" ht="15.6" x14ac:dyDescent="0.25">
      <c r="A23" s="228">
        <f>+'Table 1'!A47:C47</f>
        <v>0</v>
      </c>
      <c r="B23" s="229">
        <f>+'Table 1'!B47:D47</f>
        <v>355</v>
      </c>
      <c r="C23" s="229" t="str">
        <f>+'Table 1'!C47:E47</f>
        <v>mm</v>
      </c>
      <c r="D23" s="229" t="str">
        <f>+'Table 1'!D47:F47</f>
        <v>Rmt</v>
      </c>
      <c r="E23" s="229">
        <f>+'Table 1'!E47:G47</f>
        <v>2779.4</v>
      </c>
      <c r="F23" s="229">
        <f>+'Table 1'!F47:H47</f>
        <v>380</v>
      </c>
      <c r="G23" s="229">
        <f>+'Table 1'!G47:I47</f>
        <v>225.7</v>
      </c>
      <c r="H23" s="229">
        <f>+'Table 1'!H47:J47</f>
        <v>0</v>
      </c>
      <c r="I23" s="229">
        <f>+'Table 1'!I47:K47</f>
        <v>40</v>
      </c>
      <c r="J23" s="229">
        <f>+'Table 1'!J47:L47</f>
        <v>557</v>
      </c>
      <c r="K23" s="229">
        <f>+'Table 1'!K47:M47</f>
        <v>133</v>
      </c>
      <c r="L23" s="229">
        <f>+'Table 1'!L47:N47</f>
        <v>875</v>
      </c>
      <c r="M23" s="229">
        <f>+'Table 1'!M47:O47</f>
        <v>282</v>
      </c>
      <c r="N23" s="229">
        <f>+'Table 1'!N47:P47</f>
        <v>139</v>
      </c>
      <c r="O23" s="229">
        <f>+'Table 1'!O47:Q47</f>
        <v>383</v>
      </c>
      <c r="P23" s="229">
        <f>+'Table 1'!P47:R47</f>
        <v>244</v>
      </c>
      <c r="Q23" s="229">
        <f>+'Table 1'!Q47:S47</f>
        <v>2215</v>
      </c>
      <c r="R23" s="229">
        <f>+'Table 1'!R47:T47</f>
        <v>0</v>
      </c>
      <c r="S23" s="229">
        <f>+'Table 1'!S47:U47</f>
        <v>0</v>
      </c>
      <c r="T23" s="229">
        <f>+'Table 1'!T47:V47</f>
        <v>0</v>
      </c>
      <c r="U23" s="229">
        <f>+'Table 1'!U47:W47</f>
        <v>0</v>
      </c>
      <c r="V23" s="229">
        <f>+'Table 1'!V47:X47</f>
        <v>2195</v>
      </c>
      <c r="W23" s="229">
        <f>+'Table 1'!W47:Y47</f>
        <v>6100783</v>
      </c>
      <c r="X23" s="229">
        <f>+'Table 1'!X47:Z47</f>
        <v>3278.7</v>
      </c>
      <c r="Y23" s="229">
        <f>+'Table 1'!Y47:AA47</f>
        <v>9112818.7799999993</v>
      </c>
      <c r="Z23" s="229">
        <f>+'Table 1'!Z47:AB47</f>
        <v>3012035.7799999993</v>
      </c>
      <c r="AB23" s="239">
        <f t="shared" si="8"/>
        <v>627310.57999999996</v>
      </c>
      <c r="AC23" s="239">
        <f t="shared" si="0"/>
        <v>111176</v>
      </c>
      <c r="AD23" s="239">
        <f t="shared" si="1"/>
        <v>369660.2</v>
      </c>
      <c r="AE23" s="239">
        <f t="shared" si="2"/>
        <v>783790.8</v>
      </c>
      <c r="AF23" s="239">
        <f t="shared" si="3"/>
        <v>1064510.2</v>
      </c>
      <c r="AG23" s="239">
        <f t="shared" si="4"/>
        <v>6156371</v>
      </c>
      <c r="AH23" s="239">
        <f t="shared" si="5"/>
        <v>0</v>
      </c>
      <c r="AI23" s="239"/>
      <c r="AJ23" s="239">
        <f t="shared" si="6"/>
        <v>9112818.7800000012</v>
      </c>
      <c r="AK23" s="238">
        <f>+'Table 1'!Y47</f>
        <v>9112818.7799999993</v>
      </c>
      <c r="AL23" s="20">
        <f t="shared" si="7"/>
        <v>0</v>
      </c>
    </row>
    <row r="24" spans="1:38" ht="15.6" x14ac:dyDescent="0.25">
      <c r="A24" s="228">
        <f>+'Table 1'!A48:C48</f>
        <v>0</v>
      </c>
      <c r="B24" s="229">
        <f>+'Table 1'!B48:D48</f>
        <v>400</v>
      </c>
      <c r="C24" s="229" t="str">
        <f>+'Table 1'!C48:E48</f>
        <v>mm</v>
      </c>
      <c r="D24" s="229" t="str">
        <f>+'Table 1'!D48:F48</f>
        <v>Rmt</v>
      </c>
      <c r="E24" s="229">
        <f>+'Table 1'!E48:G48</f>
        <v>3463.05</v>
      </c>
      <c r="F24" s="229">
        <f>+'Table 1'!F48:H48</f>
        <v>0</v>
      </c>
      <c r="G24" s="229">
        <f>+'Table 1'!G48:I48</f>
        <v>0</v>
      </c>
      <c r="H24" s="229">
        <f>+'Table 1'!H48:J48</f>
        <v>0</v>
      </c>
      <c r="I24" s="229">
        <f>+'Table 1'!I48:K48</f>
        <v>0</v>
      </c>
      <c r="J24" s="229">
        <f>+'Table 1'!J48:L48</f>
        <v>905</v>
      </c>
      <c r="K24" s="229">
        <f>+'Table 1'!K48:M48</f>
        <v>928</v>
      </c>
      <c r="L24" s="229">
        <f>+'Table 1'!L48:N48</f>
        <v>0</v>
      </c>
      <c r="M24" s="229">
        <f>+'Table 1'!M48:O48</f>
        <v>843</v>
      </c>
      <c r="N24" s="229">
        <f>+'Table 1'!N48:P48</f>
        <v>127</v>
      </c>
      <c r="O24" s="229">
        <f>+'Table 1'!O48:Q48</f>
        <v>207</v>
      </c>
      <c r="P24" s="229">
        <f>+'Table 1'!P48:R48</f>
        <v>550</v>
      </c>
      <c r="Q24" s="229">
        <f>+'Table 1'!Q48:S48</f>
        <v>923</v>
      </c>
      <c r="R24" s="229">
        <f>+'Table 1'!R48:T48</f>
        <v>476</v>
      </c>
      <c r="S24" s="229">
        <f>+'Table 1'!S48:U48</f>
        <v>0</v>
      </c>
      <c r="T24" s="229">
        <f>+'Table 1'!T48:V48</f>
        <v>0</v>
      </c>
      <c r="U24" s="229">
        <f>+'Table 1'!U48:W48</f>
        <v>0</v>
      </c>
      <c r="V24" s="229">
        <f>+'Table 1'!V48:X48</f>
        <v>2058</v>
      </c>
      <c r="W24" s="229">
        <f>+'Table 1'!W48:Y48</f>
        <v>7126956.9000000004</v>
      </c>
      <c r="X24" s="229">
        <f>+'Table 1'!X48:Z48</f>
        <v>2901</v>
      </c>
      <c r="Y24" s="229">
        <f>+'Table 1'!Y48:AA48</f>
        <v>10046308.050000001</v>
      </c>
      <c r="Z24" s="229">
        <f>+'Table 1'!Z48:AB48</f>
        <v>2919351.1500000004</v>
      </c>
      <c r="AB24" s="239">
        <f t="shared" si="8"/>
        <v>0</v>
      </c>
      <c r="AC24" s="239">
        <f t="shared" si="0"/>
        <v>0</v>
      </c>
      <c r="AD24" s="239">
        <f t="shared" si="1"/>
        <v>3213710.4000000004</v>
      </c>
      <c r="AE24" s="239">
        <f t="shared" si="2"/>
        <v>2919351.1500000004</v>
      </c>
      <c r="AF24" s="239">
        <f t="shared" si="3"/>
        <v>716851.35000000009</v>
      </c>
      <c r="AG24" s="239">
        <f t="shared" si="4"/>
        <v>3196395.1500000004</v>
      </c>
      <c r="AH24" s="239">
        <f t="shared" si="5"/>
        <v>0</v>
      </c>
      <c r="AI24" s="239"/>
      <c r="AJ24" s="239">
        <f t="shared" si="6"/>
        <v>10046308.050000001</v>
      </c>
      <c r="AK24" s="238">
        <f>+'Table 1'!Y48</f>
        <v>10046308.050000001</v>
      </c>
      <c r="AL24" s="20">
        <f t="shared" si="7"/>
        <v>0</v>
      </c>
    </row>
    <row r="25" spans="1:38" ht="15.6" x14ac:dyDescent="0.25">
      <c r="A25" s="228">
        <f>+'Table 1'!A49:C49</f>
        <v>0</v>
      </c>
      <c r="B25" s="229">
        <f>+'Table 1'!B49:D49</f>
        <v>450</v>
      </c>
      <c r="C25" s="229" t="str">
        <f>+'Table 1'!C49:E49</f>
        <v>mm</v>
      </c>
      <c r="D25" s="229" t="str">
        <f>+'Table 1'!D49:F49</f>
        <v>Rmt</v>
      </c>
      <c r="E25" s="229">
        <f>+'Table 1'!E49:G49</f>
        <v>4297.2</v>
      </c>
      <c r="F25" s="229">
        <f>+'Table 1'!F49:H49</f>
        <v>0</v>
      </c>
      <c r="G25" s="229">
        <f>+'Table 1'!G49:I49</f>
        <v>141.94</v>
      </c>
      <c r="H25" s="229">
        <f>+'Table 1'!H49:J49</f>
        <v>0</v>
      </c>
      <c r="I25" s="229">
        <f>+'Table 1'!I49:K49</f>
        <v>0</v>
      </c>
      <c r="J25" s="229">
        <f>+'Table 1'!J49:L49</f>
        <v>0</v>
      </c>
      <c r="K25" s="229">
        <f>+'Table 1'!K49:M49</f>
        <v>165</v>
      </c>
      <c r="L25" s="229">
        <f>+'Table 1'!L49:N49</f>
        <v>0</v>
      </c>
      <c r="M25" s="229">
        <f>+'Table 1'!M49:O49</f>
        <v>0</v>
      </c>
      <c r="N25" s="229">
        <f>+'Table 1'!N49:P49</f>
        <v>329</v>
      </c>
      <c r="O25" s="229">
        <f>+'Table 1'!O49:Q49</f>
        <v>0</v>
      </c>
      <c r="P25" s="229">
        <f>+'Table 1'!P49:R49</f>
        <v>1005</v>
      </c>
      <c r="Q25" s="229">
        <f>+'Table 1'!Q49:S49</f>
        <v>209</v>
      </c>
      <c r="R25" s="229">
        <f>+'Table 1'!R49:T49</f>
        <v>0</v>
      </c>
      <c r="S25" s="229">
        <f>+'Table 1'!S49:U49</f>
        <v>0</v>
      </c>
      <c r="T25" s="229">
        <f>+'Table 1'!T49:V49</f>
        <v>0</v>
      </c>
      <c r="U25" s="229">
        <f>+'Table 1'!U49:W49</f>
        <v>0</v>
      </c>
      <c r="V25" s="229">
        <f>+'Table 1'!V49:X49</f>
        <v>1334</v>
      </c>
      <c r="W25" s="229">
        <f>+'Table 1'!W49:Y49</f>
        <v>5732464.7999999998</v>
      </c>
      <c r="X25" s="229">
        <f>+'Table 1'!X49:Z49</f>
        <v>515.94000000000005</v>
      </c>
      <c r="Y25" s="229">
        <f>+'Table 1'!Y49:AA49</f>
        <v>2217097.3680000002</v>
      </c>
      <c r="Z25" s="229">
        <f>+'Table 1'!Z49:AB49</f>
        <v>-3515367.4319999996</v>
      </c>
      <c r="AB25" s="239">
        <f t="shared" si="8"/>
        <v>609944.56799999997</v>
      </c>
      <c r="AC25" s="239">
        <f t="shared" si="0"/>
        <v>0</v>
      </c>
      <c r="AD25" s="239">
        <f t="shared" si="1"/>
        <v>709038</v>
      </c>
      <c r="AE25" s="239">
        <f t="shared" si="2"/>
        <v>0</v>
      </c>
      <c r="AF25" s="239">
        <f t="shared" si="3"/>
        <v>0</v>
      </c>
      <c r="AG25" s="239">
        <f t="shared" si="4"/>
        <v>898114.79999999993</v>
      </c>
      <c r="AH25" s="239">
        <f t="shared" si="5"/>
        <v>0</v>
      </c>
      <c r="AI25" s="239"/>
      <c r="AJ25" s="239">
        <f t="shared" si="6"/>
        <v>2217097.3679999998</v>
      </c>
      <c r="AK25" s="238">
        <f>+'Table 1'!Y49</f>
        <v>2217097.3680000002</v>
      </c>
      <c r="AL25" s="20">
        <f t="shared" si="7"/>
        <v>0</v>
      </c>
    </row>
    <row r="26" spans="1:38" ht="15.6" x14ac:dyDescent="0.25">
      <c r="A26" s="228">
        <f>+'Table 1'!A50:C50</f>
        <v>0</v>
      </c>
      <c r="B26" s="229">
        <f>+'Table 1'!B50:D50</f>
        <v>500</v>
      </c>
      <c r="C26" s="229" t="str">
        <f>+'Table 1'!C50:E50</f>
        <v>mm</v>
      </c>
      <c r="D26" s="229" t="str">
        <f>+'Table 1'!D50:F50</f>
        <v>Rmt</v>
      </c>
      <c r="E26" s="229">
        <f>+'Table 1'!E50:G50</f>
        <v>5265.45</v>
      </c>
      <c r="F26" s="229">
        <f>+'Table 1'!F50:H50</f>
        <v>935</v>
      </c>
      <c r="G26" s="229">
        <f>+'Table 1'!G50:I50</f>
        <v>517.46</v>
      </c>
      <c r="H26" s="229">
        <f>+'Table 1'!H50:J50</f>
        <v>0</v>
      </c>
      <c r="I26" s="229">
        <f>+'Table 1'!I50:K50</f>
        <v>0</v>
      </c>
      <c r="J26" s="229">
        <f>+'Table 1'!J50:L50</f>
        <v>920</v>
      </c>
      <c r="K26" s="229">
        <f>+'Table 1'!K50:M50</f>
        <v>259</v>
      </c>
      <c r="L26" s="229">
        <f>+'Table 1'!L50:N50</f>
        <v>0</v>
      </c>
      <c r="M26" s="229">
        <f>+'Table 1'!M50:O50</f>
        <v>0</v>
      </c>
      <c r="N26" s="229">
        <f>+'Table 1'!N50:P50</f>
        <v>0</v>
      </c>
      <c r="O26" s="229">
        <f>+'Table 1'!O50:Q50</f>
        <v>0</v>
      </c>
      <c r="P26" s="229">
        <f>+'Table 1'!P50:R50</f>
        <v>1527</v>
      </c>
      <c r="Q26" s="229">
        <f>+'Table 1'!Q50:S50</f>
        <v>136</v>
      </c>
      <c r="R26" s="229">
        <f>+'Table 1'!R50:T50</f>
        <v>289</v>
      </c>
      <c r="S26" s="229">
        <f>+'Table 1'!S50:U50</f>
        <v>933</v>
      </c>
      <c r="T26" s="229">
        <f>+'Table 1'!T50:V50</f>
        <v>0</v>
      </c>
      <c r="U26" s="229">
        <f>+'Table 1'!U50:W50</f>
        <v>0</v>
      </c>
      <c r="V26" s="229">
        <f>+'Table 1'!V50:X50</f>
        <v>3671</v>
      </c>
      <c r="W26" s="229">
        <f>+'Table 1'!W50:Y50</f>
        <v>19329466.949999999</v>
      </c>
      <c r="X26" s="229">
        <f>+'Table 1'!X50:Z50</f>
        <v>1845.46</v>
      </c>
      <c r="Y26" s="229">
        <f>+'Table 1'!Y50:AA50</f>
        <v>9717177.3570000008</v>
      </c>
      <c r="Z26" s="229">
        <f>+'Table 1'!Z50:AB50</f>
        <v>-9612289.5929999985</v>
      </c>
      <c r="AB26" s="239">
        <f t="shared" si="8"/>
        <v>2724659.7570000002</v>
      </c>
      <c r="AC26" s="239">
        <f t="shared" si="0"/>
        <v>0</v>
      </c>
      <c r="AD26" s="239">
        <f t="shared" si="1"/>
        <v>1363751.55</v>
      </c>
      <c r="AE26" s="239">
        <f t="shared" si="2"/>
        <v>0</v>
      </c>
      <c r="AF26" s="239">
        <f t="shared" si="3"/>
        <v>0</v>
      </c>
      <c r="AG26" s="239">
        <f t="shared" si="4"/>
        <v>716101.2</v>
      </c>
      <c r="AH26" s="239">
        <f t="shared" si="5"/>
        <v>4912664.8499999996</v>
      </c>
      <c r="AI26" s="239"/>
      <c r="AJ26" s="239">
        <f t="shared" si="6"/>
        <v>9717177.3570000008</v>
      </c>
      <c r="AK26" s="238">
        <f>+'Table 1'!Y50</f>
        <v>9717177.3570000008</v>
      </c>
      <c r="AL26" s="20">
        <f t="shared" si="7"/>
        <v>0</v>
      </c>
    </row>
    <row r="27" spans="1:38" ht="15.6" x14ac:dyDescent="0.25">
      <c r="A27" s="228">
        <f>+'Table 1'!A51:C51</f>
        <v>0</v>
      </c>
      <c r="B27" s="229">
        <f>+'Table 1'!B51:D51</f>
        <v>560</v>
      </c>
      <c r="C27" s="229" t="str">
        <f>+'Table 1'!C51:E51</f>
        <v>mm</v>
      </c>
      <c r="D27" s="229" t="str">
        <f>+'Table 1'!D51:F51</f>
        <v>Rmt</v>
      </c>
      <c r="E27" s="229">
        <f>+'Table 1'!E51:G51</f>
        <v>6515.7</v>
      </c>
      <c r="F27" s="229">
        <f>+'Table 1'!F51:H51</f>
        <v>0</v>
      </c>
      <c r="G27" s="229">
        <f>+'Table 1'!G51:I51</f>
        <v>1366.33</v>
      </c>
      <c r="H27" s="229">
        <f>+'Table 1'!H51:J51</f>
        <v>0</v>
      </c>
      <c r="I27" s="229">
        <f>+'Table 1'!I51:K51</f>
        <v>0</v>
      </c>
      <c r="J27" s="229">
        <f>+'Table 1'!J51:L51</f>
        <v>963</v>
      </c>
      <c r="K27" s="229">
        <f>+'Table 1'!K51:M51</f>
        <v>920</v>
      </c>
      <c r="L27" s="229">
        <f>+'Table 1'!L51:N51</f>
        <v>0</v>
      </c>
      <c r="M27" s="229">
        <f>+'Table 1'!M51:O51</f>
        <v>0</v>
      </c>
      <c r="N27" s="229">
        <f>+'Table 1'!N51:P51</f>
        <v>0</v>
      </c>
      <c r="O27" s="229">
        <f>+'Table 1'!O51:Q51</f>
        <v>66</v>
      </c>
      <c r="P27" s="229">
        <f>+'Table 1'!P51:R51</f>
        <v>0</v>
      </c>
      <c r="Q27" s="229">
        <f>+'Table 1'!Q51:S51</f>
        <v>243</v>
      </c>
      <c r="R27" s="229">
        <f>+'Table 1'!R51:T51</f>
        <v>970</v>
      </c>
      <c r="S27" s="229">
        <f>+'Table 1'!S51:U51</f>
        <v>174</v>
      </c>
      <c r="T27" s="229">
        <f>+'Table 1'!T51:V51</f>
        <v>0</v>
      </c>
      <c r="U27" s="229">
        <f>+'Table 1'!U51:W51</f>
        <v>0</v>
      </c>
      <c r="V27" s="229">
        <f>+'Table 1'!V51:X51</f>
        <v>1933</v>
      </c>
      <c r="W27" s="229">
        <f>+'Table 1'!W51:Y51</f>
        <v>12594848.1</v>
      </c>
      <c r="X27" s="229">
        <f>+'Table 1'!X51:Z51</f>
        <v>2769.33</v>
      </c>
      <c r="Y27" s="229">
        <f>+'Table 1'!Y51:AA51</f>
        <v>18044123.480999999</v>
      </c>
      <c r="Z27" s="229">
        <f>+'Table 1'!Z51:AB51</f>
        <v>5449275.3809999991</v>
      </c>
      <c r="AB27" s="239">
        <f t="shared" si="8"/>
        <v>8902596.3809999991</v>
      </c>
      <c r="AC27" s="239">
        <f t="shared" si="0"/>
        <v>0</v>
      </c>
      <c r="AD27" s="239">
        <f t="shared" si="1"/>
        <v>5994444</v>
      </c>
      <c r="AE27" s="239">
        <f t="shared" si="2"/>
        <v>0</v>
      </c>
      <c r="AF27" s="239">
        <f t="shared" si="3"/>
        <v>430036.2</v>
      </c>
      <c r="AG27" s="239">
        <f t="shared" si="4"/>
        <v>1583315.0999999999</v>
      </c>
      <c r="AH27" s="239">
        <f t="shared" si="5"/>
        <v>1133731.8</v>
      </c>
      <c r="AI27" s="239"/>
      <c r="AJ27" s="239">
        <f t="shared" si="6"/>
        <v>18044123.480999999</v>
      </c>
      <c r="AK27" s="238">
        <f>+'Table 1'!Y51</f>
        <v>18044123.480999999</v>
      </c>
      <c r="AL27" s="20">
        <f t="shared" si="7"/>
        <v>0</v>
      </c>
    </row>
    <row r="28" spans="1:38" ht="15.6" x14ac:dyDescent="0.25">
      <c r="A28" s="228">
        <f>+'Table 1'!A52:C52</f>
        <v>0</v>
      </c>
      <c r="B28" s="229">
        <f>+'Table 1'!B52:D52</f>
        <v>630</v>
      </c>
      <c r="C28" s="229" t="str">
        <f>+'Table 1'!C52:E52</f>
        <v>mm</v>
      </c>
      <c r="D28" s="229" t="str">
        <f>+'Table 1'!D52:F52</f>
        <v>Rmt</v>
      </c>
      <c r="E28" s="229">
        <f>+'Table 1'!E52:G52</f>
        <v>8256.0499999999993</v>
      </c>
      <c r="F28" s="229">
        <f>+'Table 1'!F52:H52</f>
        <v>438</v>
      </c>
      <c r="G28" s="229">
        <f>+'Table 1'!G52:I52</f>
        <v>106.42</v>
      </c>
      <c r="H28" s="229">
        <f>+'Table 1'!H52:J52</f>
        <v>0</v>
      </c>
      <c r="I28" s="229">
        <f>+'Table 1'!I52:K52</f>
        <v>0</v>
      </c>
      <c r="J28" s="229">
        <f>+'Table 1'!J52:L52</f>
        <v>1173</v>
      </c>
      <c r="K28" s="229">
        <f>+'Table 1'!K52:M52</f>
        <v>1138</v>
      </c>
      <c r="L28" s="229">
        <f>+'Table 1'!L52:N52</f>
        <v>0</v>
      </c>
      <c r="M28" s="229">
        <f>+'Table 1'!M52:O52</f>
        <v>0</v>
      </c>
      <c r="N28" s="229">
        <f>+'Table 1'!N52:P52</f>
        <v>1531</v>
      </c>
      <c r="O28" s="229">
        <f>+'Table 1'!O52:Q52</f>
        <v>681</v>
      </c>
      <c r="P28" s="229">
        <f>+'Table 1'!P52:R52</f>
        <v>0</v>
      </c>
      <c r="Q28" s="229">
        <f>+'Table 1'!Q52:S52</f>
        <v>516</v>
      </c>
      <c r="R28" s="229">
        <f>+'Table 1'!R52:T52</f>
        <v>0</v>
      </c>
      <c r="S28" s="229">
        <f>+'Table 1'!S52:U52</f>
        <v>523</v>
      </c>
      <c r="T28" s="229">
        <f>+'Table 1'!T52:V52</f>
        <v>0</v>
      </c>
      <c r="U28" s="229">
        <f>+'Table 1'!U52:W52</f>
        <v>0</v>
      </c>
      <c r="V28" s="229">
        <f>+'Table 1'!V52:X52</f>
        <v>3142</v>
      </c>
      <c r="W28" s="229">
        <f>+'Table 1'!W52:Y52</f>
        <v>25940509.099999998</v>
      </c>
      <c r="X28" s="229">
        <f>+'Table 1'!X52:Z52</f>
        <v>2964.42</v>
      </c>
      <c r="Y28" s="229">
        <f>+'Table 1'!Y52:AA52</f>
        <v>24474399.740999997</v>
      </c>
      <c r="Z28" s="229">
        <f>+'Table 1'!Z52:AB52</f>
        <v>-1466109.3590000011</v>
      </c>
      <c r="AB28" s="239">
        <f t="shared" si="8"/>
        <v>878608.8409999999</v>
      </c>
      <c r="AC28" s="239">
        <f t="shared" si="0"/>
        <v>0</v>
      </c>
      <c r="AD28" s="239">
        <f t="shared" si="1"/>
        <v>9395384.8999999985</v>
      </c>
      <c r="AE28" s="239">
        <f t="shared" si="2"/>
        <v>0</v>
      </c>
      <c r="AF28" s="239">
        <f t="shared" si="3"/>
        <v>5622370.0499999998</v>
      </c>
      <c r="AG28" s="239">
        <f t="shared" si="4"/>
        <v>4260121.8</v>
      </c>
      <c r="AH28" s="239">
        <f t="shared" si="5"/>
        <v>4317914.1499999994</v>
      </c>
      <c r="AI28" s="239"/>
      <c r="AJ28" s="239">
        <f t="shared" si="6"/>
        <v>24474399.740999997</v>
      </c>
      <c r="AK28" s="238">
        <f>+'Table 1'!Y52</f>
        <v>24474399.740999997</v>
      </c>
      <c r="AL28" s="20">
        <f t="shared" si="7"/>
        <v>0</v>
      </c>
    </row>
    <row r="29" spans="1:38" ht="15.6" x14ac:dyDescent="0.25">
      <c r="A29" s="228">
        <f>+'Table 1'!A53:C53</f>
        <v>0</v>
      </c>
      <c r="B29" s="229">
        <f>+'Table 1'!B53:D53</f>
        <v>710</v>
      </c>
      <c r="C29" s="229" t="str">
        <f>+'Table 1'!C53:E53</f>
        <v>mm</v>
      </c>
      <c r="D29" s="229" t="str">
        <f>+'Table 1'!D53:F53</f>
        <v>Rmt</v>
      </c>
      <c r="E29" s="229">
        <f>+'Table 1'!E53:G53</f>
        <v>10397.35</v>
      </c>
      <c r="F29" s="229">
        <f>+'Table 1'!F53:H53</f>
        <v>0</v>
      </c>
      <c r="G29" s="229">
        <f>+'Table 1'!G53:I53</f>
        <v>0</v>
      </c>
      <c r="H29" s="229">
        <f>+'Table 1'!H53:J53</f>
        <v>0</v>
      </c>
      <c r="I29" s="229">
        <f>+'Table 1'!I53:K53</f>
        <v>0</v>
      </c>
      <c r="J29" s="229">
        <f>+'Table 1'!J53:L53</f>
        <v>1537</v>
      </c>
      <c r="K29" s="229">
        <f>+'Table 1'!K53:M53</f>
        <v>1325</v>
      </c>
      <c r="L29" s="229">
        <f>+'Table 1'!L53:N53</f>
        <v>0</v>
      </c>
      <c r="M29" s="229">
        <f>+'Table 1'!M53:O53</f>
        <v>0</v>
      </c>
      <c r="N29" s="229">
        <f>+'Table 1'!N53:P53</f>
        <v>0</v>
      </c>
      <c r="O29" s="229">
        <f>+'Table 1'!O53:Q53</f>
        <v>638</v>
      </c>
      <c r="P29" s="229">
        <f>+'Table 1'!P53:R53</f>
        <v>0</v>
      </c>
      <c r="Q29" s="229">
        <f>+'Table 1'!Q53:S53</f>
        <v>522</v>
      </c>
      <c r="R29" s="229">
        <f>+'Table 1'!R53:T53</f>
        <v>615</v>
      </c>
      <c r="S29" s="229">
        <f>+'Table 1'!S53:U53</f>
        <v>182</v>
      </c>
      <c r="T29" s="229">
        <f>+'Table 1'!T53:V53</f>
        <v>0</v>
      </c>
      <c r="U29" s="229">
        <f>+'Table 1'!U53:W53</f>
        <v>0</v>
      </c>
      <c r="V29" s="229">
        <f>+'Table 1'!V53:X53</f>
        <v>2152</v>
      </c>
      <c r="W29" s="229">
        <f>+'Table 1'!W53:Y53</f>
        <v>22375097.199999999</v>
      </c>
      <c r="X29" s="229">
        <f>+'Table 1'!X53:Z53</f>
        <v>2667</v>
      </c>
      <c r="Y29" s="229">
        <f>+'Table 1'!Y53:AA53</f>
        <v>27729732.449999999</v>
      </c>
      <c r="Z29" s="229">
        <f>+'Table 1'!Z53:AB53</f>
        <v>5354635.25</v>
      </c>
      <c r="AB29" s="239">
        <f t="shared" si="8"/>
        <v>0</v>
      </c>
      <c r="AC29" s="239">
        <f t="shared" si="0"/>
        <v>0</v>
      </c>
      <c r="AD29" s="239">
        <f t="shared" si="1"/>
        <v>13776488.75</v>
      </c>
      <c r="AE29" s="239">
        <f t="shared" si="2"/>
        <v>0</v>
      </c>
      <c r="AF29" s="239">
        <f t="shared" si="3"/>
        <v>6633509.2999999998</v>
      </c>
      <c r="AG29" s="239">
        <f t="shared" si="4"/>
        <v>5427416.7000000002</v>
      </c>
      <c r="AH29" s="239">
        <f t="shared" si="5"/>
        <v>1892317.7</v>
      </c>
      <c r="AI29" s="239"/>
      <c r="AJ29" s="239">
        <f t="shared" si="6"/>
        <v>27729732.449999999</v>
      </c>
      <c r="AK29" s="238">
        <f>+'Table 1'!Y53</f>
        <v>27729732.449999999</v>
      </c>
      <c r="AL29" s="20">
        <f t="shared" si="7"/>
        <v>0</v>
      </c>
    </row>
    <row r="30" spans="1:38" ht="15.6" x14ac:dyDescent="0.25">
      <c r="A30" s="228">
        <f>+'Table 1'!A54:C54</f>
        <v>0</v>
      </c>
      <c r="B30" s="229">
        <f>+'Table 1'!B54:D54</f>
        <v>800</v>
      </c>
      <c r="C30" s="229" t="str">
        <f>+'Table 1'!C54:E54</f>
        <v>mm</v>
      </c>
      <c r="D30" s="229" t="str">
        <f>+'Table 1'!D54:F54</f>
        <v>Rmt</v>
      </c>
      <c r="E30" s="229">
        <f>+'Table 1'!E54:G54</f>
        <v>12273.5</v>
      </c>
      <c r="F30" s="229">
        <f>+'Table 1'!F54:H54</f>
        <v>0</v>
      </c>
      <c r="G30" s="229">
        <f>+'Table 1'!G54:I54</f>
        <v>0</v>
      </c>
      <c r="H30" s="229">
        <f>+'Table 1'!H54:J54</f>
        <v>0</v>
      </c>
      <c r="I30" s="229">
        <f>+'Table 1'!I54:K54</f>
        <v>0</v>
      </c>
      <c r="J30" s="229">
        <f>+'Table 1'!J54:L54</f>
        <v>523</v>
      </c>
      <c r="K30" s="229">
        <f>+'Table 1'!K54:M54</f>
        <v>1045</v>
      </c>
      <c r="L30" s="229">
        <f>+'Table 1'!L54:N54</f>
        <v>0</v>
      </c>
      <c r="M30" s="229">
        <f>+'Table 1'!M54:O54</f>
        <v>0</v>
      </c>
      <c r="N30" s="229">
        <f>+'Table 1'!N54:P54</f>
        <v>0</v>
      </c>
      <c r="O30" s="229">
        <f>+'Table 1'!O54:Q54</f>
        <v>0</v>
      </c>
      <c r="P30" s="229">
        <f>+'Table 1'!P54:R54</f>
        <v>539</v>
      </c>
      <c r="Q30" s="229">
        <f>+'Table 1'!Q54:S54</f>
        <v>1160</v>
      </c>
      <c r="R30" s="229">
        <f>+'Table 1'!R54:T54</f>
        <v>0</v>
      </c>
      <c r="S30" s="229">
        <f>+'Table 1'!S54:U54</f>
        <v>0</v>
      </c>
      <c r="T30" s="229">
        <f>+'Table 1'!T54:V54</f>
        <v>0</v>
      </c>
      <c r="U30" s="229">
        <f>+'Table 1'!U54:W54</f>
        <v>0</v>
      </c>
      <c r="V30" s="229">
        <f>+'Table 1'!V54:X54</f>
        <v>1062</v>
      </c>
      <c r="W30" s="229">
        <f>+'Table 1'!W54:Y54</f>
        <v>13034457</v>
      </c>
      <c r="X30" s="229">
        <f>+'Table 1'!X54:Z54</f>
        <v>2205</v>
      </c>
      <c r="Y30" s="229">
        <f>+'Table 1'!Y54:AA54</f>
        <v>27063067.5</v>
      </c>
      <c r="Z30" s="229">
        <f>+'Table 1'!Z54:AB54</f>
        <v>14028610.5</v>
      </c>
      <c r="AB30" s="239">
        <f t="shared" si="8"/>
        <v>0</v>
      </c>
      <c r="AC30" s="239">
        <f t="shared" si="0"/>
        <v>0</v>
      </c>
      <c r="AD30" s="239">
        <f t="shared" si="1"/>
        <v>12825807.5</v>
      </c>
      <c r="AE30" s="239">
        <f t="shared" si="2"/>
        <v>0</v>
      </c>
      <c r="AF30" s="239">
        <f t="shared" si="3"/>
        <v>0</v>
      </c>
      <c r="AG30" s="239">
        <f t="shared" si="4"/>
        <v>14237260</v>
      </c>
      <c r="AH30" s="239">
        <f t="shared" si="5"/>
        <v>0</v>
      </c>
      <c r="AI30" s="239"/>
      <c r="AJ30" s="239">
        <f t="shared" si="6"/>
        <v>27063067.5</v>
      </c>
      <c r="AK30" s="238">
        <f>+'Table 1'!Y54</f>
        <v>27063067.5</v>
      </c>
      <c r="AL30" s="20">
        <f t="shared" si="7"/>
        <v>0</v>
      </c>
    </row>
    <row r="31" spans="1:38" ht="27.6" x14ac:dyDescent="0.25">
      <c r="A31" s="228" t="str">
        <f>+'Table 1'!A55:C55</f>
        <v>Item No. 8:- Providing and supplying Prestressed
Concrete Cylinder Pipes suitable for sliding ovrelap</v>
      </c>
      <c r="B31" s="229">
        <f>+'Table 1'!B55:D55</f>
        <v>0</v>
      </c>
      <c r="C31" s="229">
        <f>+'Table 1'!C55:E55</f>
        <v>0</v>
      </c>
      <c r="D31" s="229">
        <f>+'Table 1'!D55:F55</f>
        <v>0</v>
      </c>
      <c r="E31" s="229">
        <f>+'Table 1'!E55:G55</f>
        <v>0</v>
      </c>
      <c r="F31" s="229">
        <f>+'Table 1'!F55:H55</f>
        <v>0</v>
      </c>
      <c r="G31" s="229">
        <f>+'Table 1'!G55:I55</f>
        <v>0</v>
      </c>
      <c r="H31" s="229">
        <f>+'Table 1'!H55:J55</f>
        <v>0</v>
      </c>
      <c r="I31" s="229">
        <f>+'Table 1'!I55:K55</f>
        <v>0</v>
      </c>
      <c r="J31" s="229">
        <f>+'Table 1'!J55:L55</f>
        <v>0</v>
      </c>
      <c r="K31" s="229">
        <f>+'Table 1'!K55:M55</f>
        <v>0</v>
      </c>
      <c r="L31" s="229">
        <f>+'Table 1'!L55:N55</f>
        <v>0</v>
      </c>
      <c r="M31" s="229">
        <f>+'Table 1'!M55:O55</f>
        <v>0</v>
      </c>
      <c r="N31" s="229">
        <f>+'Table 1'!N55:P55</f>
        <v>0</v>
      </c>
      <c r="O31" s="229">
        <f>+'Table 1'!O55:Q55</f>
        <v>0</v>
      </c>
      <c r="P31" s="229">
        <f>+'Table 1'!P55:R55</f>
        <v>0</v>
      </c>
      <c r="Q31" s="229">
        <f>+'Table 1'!Q55:S55</f>
        <v>0</v>
      </c>
      <c r="R31" s="229">
        <f>+'Table 1'!R55:T55</f>
        <v>0</v>
      </c>
      <c r="S31" s="229">
        <f>+'Table 1'!S55:U55</f>
        <v>0</v>
      </c>
      <c r="T31" s="229">
        <f>+'Table 1'!T55:V55</f>
        <v>0</v>
      </c>
      <c r="U31" s="229">
        <f>+'Table 1'!U55:W55</f>
        <v>0</v>
      </c>
      <c r="V31" s="229">
        <f>+'Table 1'!V55:X55</f>
        <v>0</v>
      </c>
      <c r="W31" s="229">
        <f>+'Table 1'!W55:Y55</f>
        <v>0</v>
      </c>
      <c r="X31" s="229">
        <f>+'Table 1'!X55:Z55</f>
        <v>0</v>
      </c>
      <c r="Y31" s="229">
        <f>+'Table 1'!Y55:AA55</f>
        <v>0</v>
      </c>
      <c r="Z31" s="229">
        <f>+'Table 1'!Z55:AB55</f>
        <v>0</v>
      </c>
      <c r="AB31" s="239">
        <f t="shared" si="8"/>
        <v>0</v>
      </c>
      <c r="AC31" s="239">
        <f t="shared" si="0"/>
        <v>0</v>
      </c>
      <c r="AD31" s="239">
        <f t="shared" si="1"/>
        <v>0</v>
      </c>
      <c r="AE31" s="239">
        <f t="shared" si="2"/>
        <v>0</v>
      </c>
      <c r="AF31" s="239">
        <f t="shared" si="3"/>
        <v>0</v>
      </c>
      <c r="AG31" s="239">
        <f t="shared" si="4"/>
        <v>0</v>
      </c>
      <c r="AH31" s="239">
        <f t="shared" si="5"/>
        <v>0</v>
      </c>
      <c r="AI31" s="239"/>
      <c r="AJ31" s="239">
        <f t="shared" si="6"/>
        <v>0</v>
      </c>
      <c r="AK31" s="238">
        <f>+'Table 1'!Y55</f>
        <v>0</v>
      </c>
      <c r="AL31" s="20">
        <f t="shared" si="7"/>
        <v>0</v>
      </c>
    </row>
    <row r="32" spans="1:38" ht="15.6" x14ac:dyDescent="0.25">
      <c r="A32" s="228" t="str">
        <f>+'Table 1'!A56:C56</f>
        <v>a</v>
      </c>
      <c r="B32" s="229">
        <f>+'Table 1'!B56:D56</f>
        <v>900</v>
      </c>
      <c r="C32" s="229" t="str">
        <f>+'Table 1'!C56:E56</f>
        <v>mm</v>
      </c>
      <c r="D32" s="229" t="str">
        <f>+'Table 1'!D56:F56</f>
        <v>Rmt</v>
      </c>
      <c r="E32" s="229">
        <f>+'Table 1'!E56:G56</f>
        <v>14199.65</v>
      </c>
      <c r="F32" s="229">
        <f>+'Table 1'!F56:H56</f>
        <v>0</v>
      </c>
      <c r="G32" s="229">
        <f>+'Table 1'!G56:I56</f>
        <v>0</v>
      </c>
      <c r="H32" s="229">
        <f>+'Table 1'!H56:J56</f>
        <v>0</v>
      </c>
      <c r="I32" s="229">
        <f>+'Table 1'!I56:K56</f>
        <v>0</v>
      </c>
      <c r="J32" s="229">
        <f>+'Table 1'!J56:L56</f>
        <v>716</v>
      </c>
      <c r="K32" s="229">
        <f>+'Table 1'!K56:M56</f>
        <v>516</v>
      </c>
      <c r="L32" s="229">
        <f>+'Table 1'!L56:N56</f>
        <v>0</v>
      </c>
      <c r="M32" s="229">
        <f>+'Table 1'!M56:O56</f>
        <v>0</v>
      </c>
      <c r="N32" s="229">
        <f>+'Table 1'!N56:P56</f>
        <v>0</v>
      </c>
      <c r="O32" s="229">
        <f>+'Table 1'!O56:Q56</f>
        <v>0</v>
      </c>
      <c r="P32" s="229">
        <f>+'Table 1'!P56:R56</f>
        <v>843</v>
      </c>
      <c r="Q32" s="229">
        <f>+'Table 1'!Q56:S56</f>
        <v>565</v>
      </c>
      <c r="R32" s="229">
        <f>+'Table 1'!R56:T56</f>
        <v>0</v>
      </c>
      <c r="S32" s="229">
        <f>+'Table 1'!S56:U56</f>
        <v>0</v>
      </c>
      <c r="T32" s="229">
        <f>+'Table 1'!T56:V56</f>
        <v>0</v>
      </c>
      <c r="U32" s="229">
        <f>+'Table 1'!U56:W56</f>
        <v>0</v>
      </c>
      <c r="V32" s="229">
        <f>+'Table 1'!V56:X56</f>
        <v>1559</v>
      </c>
      <c r="W32" s="229">
        <f>+'Table 1'!W56:Y56</f>
        <v>22137254.349999998</v>
      </c>
      <c r="X32" s="229">
        <f>+'Table 1'!X56:Z56</f>
        <v>1081</v>
      </c>
      <c r="Y32" s="229">
        <f>+'Table 1'!Y56:AA56</f>
        <v>15349821.65</v>
      </c>
      <c r="Z32" s="229">
        <f>+'Table 1'!Z56:AB56</f>
        <v>-6787432.6999999974</v>
      </c>
      <c r="AB32" s="239">
        <f t="shared" si="8"/>
        <v>0</v>
      </c>
      <c r="AC32" s="239">
        <f t="shared" si="0"/>
        <v>0</v>
      </c>
      <c r="AD32" s="239">
        <f t="shared" si="1"/>
        <v>7327019.3999999994</v>
      </c>
      <c r="AE32" s="239">
        <f t="shared" si="2"/>
        <v>0</v>
      </c>
      <c r="AF32" s="239">
        <f t="shared" si="3"/>
        <v>0</v>
      </c>
      <c r="AG32" s="239">
        <f t="shared" si="4"/>
        <v>8022802.25</v>
      </c>
      <c r="AH32" s="239">
        <f t="shared" si="5"/>
        <v>0</v>
      </c>
      <c r="AI32" s="239"/>
      <c r="AJ32" s="239">
        <f t="shared" si="6"/>
        <v>15349821.649999999</v>
      </c>
      <c r="AK32" s="238">
        <f>+'Table 1'!Y56</f>
        <v>15349821.65</v>
      </c>
      <c r="AL32" s="20">
        <f t="shared" si="7"/>
        <v>0</v>
      </c>
    </row>
    <row r="33" spans="1:38" ht="15.6" x14ac:dyDescent="0.25">
      <c r="A33" s="228">
        <f>+'Table 1'!A57:C57</f>
        <v>0</v>
      </c>
      <c r="B33" s="229">
        <f>+'Table 1'!B57:D57</f>
        <v>0</v>
      </c>
      <c r="C33" s="229">
        <f>+'Table 1'!C57:E57</f>
        <v>0</v>
      </c>
      <c r="D33" s="229">
        <f>+'Table 1'!D57:F57</f>
        <v>0</v>
      </c>
      <c r="E33" s="229">
        <f>+'Table 1'!E57:G57</f>
        <v>0</v>
      </c>
      <c r="F33" s="229">
        <f>+'Table 1'!F57:H57</f>
        <v>0</v>
      </c>
      <c r="G33" s="229">
        <f>+'Table 1'!G57:I57</f>
        <v>0</v>
      </c>
      <c r="H33" s="229">
        <f>+'Table 1'!H57:J57</f>
        <v>0</v>
      </c>
      <c r="I33" s="229">
        <f>+'Table 1'!I57:K57</f>
        <v>0</v>
      </c>
      <c r="J33" s="229">
        <f>+'Table 1'!J57:L57</f>
        <v>0</v>
      </c>
      <c r="K33" s="229">
        <f>+'Table 1'!K57:M57</f>
        <v>0</v>
      </c>
      <c r="L33" s="229">
        <f>+'Table 1'!L57:N57</f>
        <v>0</v>
      </c>
      <c r="M33" s="229">
        <f>+'Table 1'!M57:O57</f>
        <v>0</v>
      </c>
      <c r="N33" s="229">
        <f>+'Table 1'!N57:P57</f>
        <v>0</v>
      </c>
      <c r="O33" s="229">
        <f>+'Table 1'!O57:Q57</f>
        <v>0</v>
      </c>
      <c r="P33" s="229">
        <f>+'Table 1'!P57:R57</f>
        <v>0</v>
      </c>
      <c r="Q33" s="229">
        <f>+'Table 1'!Q57:S57</f>
        <v>0</v>
      </c>
      <c r="R33" s="229">
        <f>+'Table 1'!R57:T57</f>
        <v>0</v>
      </c>
      <c r="S33" s="229">
        <f>+'Table 1'!S57:U57</f>
        <v>0</v>
      </c>
      <c r="T33" s="229">
        <f>+'Table 1'!T57:V57</f>
        <v>0</v>
      </c>
      <c r="U33" s="229">
        <f>+'Table 1'!U57:W57</f>
        <v>0</v>
      </c>
      <c r="V33" s="229">
        <f>+'Table 1'!V57:X57</f>
        <v>0</v>
      </c>
      <c r="W33" s="229">
        <f>+'Table 1'!W57:Y57</f>
        <v>0</v>
      </c>
      <c r="X33" s="229">
        <f>+'Table 1'!X57:Z57</f>
        <v>0</v>
      </c>
      <c r="Y33" s="229">
        <f>+'Table 1'!Y57:AA57</f>
        <v>0</v>
      </c>
      <c r="Z33" s="229">
        <f>+'Table 1'!Z57:AB57</f>
        <v>0</v>
      </c>
      <c r="AB33" s="239">
        <f t="shared" si="8"/>
        <v>0</v>
      </c>
      <c r="AC33" s="239">
        <f t="shared" si="0"/>
        <v>0</v>
      </c>
      <c r="AD33" s="239">
        <f t="shared" si="1"/>
        <v>0</v>
      </c>
      <c r="AE33" s="239">
        <f t="shared" si="2"/>
        <v>0</v>
      </c>
      <c r="AF33" s="239">
        <f t="shared" si="3"/>
        <v>0</v>
      </c>
      <c r="AG33" s="239">
        <f t="shared" si="4"/>
        <v>0</v>
      </c>
      <c r="AH33" s="239">
        <f t="shared" si="5"/>
        <v>0</v>
      </c>
      <c r="AI33" s="239"/>
      <c r="AJ33" s="239">
        <f t="shared" si="6"/>
        <v>0</v>
      </c>
      <c r="AK33" s="238">
        <f>+'Table 1'!Y57</f>
        <v>0</v>
      </c>
      <c r="AL33" s="20">
        <f t="shared" si="7"/>
        <v>0</v>
      </c>
    </row>
    <row r="34" spans="1:38" ht="15.6" x14ac:dyDescent="0.25">
      <c r="A34" s="228" t="str">
        <f>+'Table 1'!A58:C58</f>
        <v>Item No. 9:- Air valves</v>
      </c>
      <c r="B34" s="229">
        <f>+'Table 1'!B58:D58</f>
        <v>0</v>
      </c>
      <c r="C34" s="229">
        <f>+'Table 1'!C58:E58</f>
        <v>0</v>
      </c>
      <c r="D34" s="229">
        <f>+'Table 1'!D58:F58</f>
        <v>0</v>
      </c>
      <c r="E34" s="229">
        <f>+'Table 1'!E58:G58</f>
        <v>0</v>
      </c>
      <c r="F34" s="229">
        <f>+'Table 1'!F58:H58</f>
        <v>0</v>
      </c>
      <c r="G34" s="229">
        <f>+'Table 1'!G58:I58</f>
        <v>0</v>
      </c>
      <c r="H34" s="229">
        <f>+'Table 1'!H58:J58</f>
        <v>0</v>
      </c>
      <c r="I34" s="229">
        <f>+'Table 1'!I58:K58</f>
        <v>0</v>
      </c>
      <c r="J34" s="229">
        <f>+'Table 1'!J58:L58</f>
        <v>0</v>
      </c>
      <c r="K34" s="229">
        <f>+'Table 1'!K58:M58</f>
        <v>0</v>
      </c>
      <c r="L34" s="229">
        <f>+'Table 1'!L58:N58</f>
        <v>0</v>
      </c>
      <c r="M34" s="229">
        <f>+'Table 1'!M58:O58</f>
        <v>0</v>
      </c>
      <c r="N34" s="229">
        <f>+'Table 1'!N58:P58</f>
        <v>0</v>
      </c>
      <c r="O34" s="229">
        <f>+'Table 1'!O58:Q58</f>
        <v>0</v>
      </c>
      <c r="P34" s="229">
        <f>+'Table 1'!P58:R58</f>
        <v>0</v>
      </c>
      <c r="Q34" s="229">
        <f>+'Table 1'!Q58:S58</f>
        <v>0</v>
      </c>
      <c r="R34" s="229">
        <f>+'Table 1'!R58:T58</f>
        <v>0</v>
      </c>
      <c r="S34" s="229">
        <f>+'Table 1'!S58:U58</f>
        <v>0</v>
      </c>
      <c r="T34" s="229">
        <f>+'Table 1'!T58:V58</f>
        <v>0</v>
      </c>
      <c r="U34" s="229">
        <f>+'Table 1'!U58:W58</f>
        <v>0</v>
      </c>
      <c r="V34" s="229">
        <f>+'Table 1'!V58:X58</f>
        <v>0</v>
      </c>
      <c r="W34" s="229">
        <f>+'Table 1'!W58:Y58</f>
        <v>0</v>
      </c>
      <c r="X34" s="229">
        <f>+'Table 1'!X58:Z58</f>
        <v>0</v>
      </c>
      <c r="Y34" s="229">
        <f>+'Table 1'!Y58:AA58</f>
        <v>0</v>
      </c>
      <c r="Z34" s="229">
        <f>+'Table 1'!Z58:AB58</f>
        <v>0</v>
      </c>
      <c r="AB34" s="239">
        <f t="shared" si="8"/>
        <v>0</v>
      </c>
      <c r="AC34" s="239">
        <f t="shared" si="0"/>
        <v>0</v>
      </c>
      <c r="AD34" s="239">
        <f t="shared" si="1"/>
        <v>0</v>
      </c>
      <c r="AE34" s="239">
        <f t="shared" si="2"/>
        <v>0</v>
      </c>
      <c r="AF34" s="239">
        <f t="shared" si="3"/>
        <v>0</v>
      </c>
      <c r="AG34" s="239">
        <f t="shared" si="4"/>
        <v>0</v>
      </c>
      <c r="AH34" s="239">
        <f t="shared" si="5"/>
        <v>0</v>
      </c>
      <c r="AI34" s="239"/>
      <c r="AJ34" s="239">
        <f t="shared" si="6"/>
        <v>0</v>
      </c>
      <c r="AK34" s="238">
        <f>+'Table 1'!Y58</f>
        <v>0</v>
      </c>
      <c r="AL34" s="20">
        <f t="shared" si="7"/>
        <v>0</v>
      </c>
    </row>
    <row r="35" spans="1:38" ht="15.6" x14ac:dyDescent="0.25">
      <c r="A35" s="228">
        <f>+'Table 1'!A59:C59</f>
        <v>0</v>
      </c>
      <c r="B35" s="229">
        <f>+'Table 1'!B59:D59</f>
        <v>50</v>
      </c>
      <c r="C35" s="229" t="str">
        <f>+'Table 1'!C59:E59</f>
        <v xml:space="preserve">mm </v>
      </c>
      <c r="D35" s="229" t="str">
        <f>+'Table 1'!D59:F59</f>
        <v>No</v>
      </c>
      <c r="E35" s="229">
        <f>+'Table 1'!E59:G59</f>
        <v>11173.650000000001</v>
      </c>
      <c r="F35" s="229">
        <f>+'Table 1'!F59:H59</f>
        <v>11</v>
      </c>
      <c r="G35" s="229">
        <f>+'Table 1'!G59:I59</f>
        <v>5</v>
      </c>
      <c r="H35" s="229">
        <f>+'Table 1'!H59:J59</f>
        <v>5</v>
      </c>
      <c r="I35" s="229">
        <f>+'Table 1'!I59:K59</f>
        <v>4</v>
      </c>
      <c r="J35" s="229">
        <f>+'Table 1'!J59:L59</f>
        <v>27</v>
      </c>
      <c r="K35" s="229">
        <f>+'Table 1'!K59:M59</f>
        <v>25</v>
      </c>
      <c r="L35" s="229">
        <f>+'Table 1'!L59:N59</f>
        <v>4</v>
      </c>
      <c r="M35" s="229">
        <f>+'Table 1'!M59:O59</f>
        <v>5</v>
      </c>
      <c r="N35" s="229">
        <f>+'Table 1'!N59:P59</f>
        <v>14</v>
      </c>
      <c r="O35" s="229">
        <f>+'Table 1'!O59:Q59</f>
        <v>12</v>
      </c>
      <c r="P35" s="229">
        <f>+'Table 1'!P59:R59</f>
        <v>24</v>
      </c>
      <c r="Q35" s="229">
        <f>+'Table 1'!Q59:S59</f>
        <v>29</v>
      </c>
      <c r="R35" s="229">
        <f>+'Table 1'!R59:T59</f>
        <v>6</v>
      </c>
      <c r="S35" s="229">
        <f>+'Table 1'!S59:U59</f>
        <v>9</v>
      </c>
      <c r="T35" s="229">
        <f>+'Table 1'!T59:V59</f>
        <v>0</v>
      </c>
      <c r="U35" s="229">
        <f>+'Table 1'!U59:W59</f>
        <v>0</v>
      </c>
      <c r="V35" s="229">
        <f>+'Table 1'!V59:X59</f>
        <v>91</v>
      </c>
      <c r="W35" s="229">
        <f>+'Table 1'!W59:Y59</f>
        <v>1016802.1500000001</v>
      </c>
      <c r="X35" s="229">
        <f>+'Table 1'!X59:Z59</f>
        <v>89</v>
      </c>
      <c r="Y35" s="229">
        <f>+'Table 1'!Y59:AA59</f>
        <v>994454.85000000009</v>
      </c>
      <c r="Z35" s="229">
        <f>+'Table 1'!Z59:AB59</f>
        <v>-22347.300000000047</v>
      </c>
      <c r="AB35" s="239">
        <f t="shared" si="8"/>
        <v>55868.250000000007</v>
      </c>
      <c r="AC35" s="239">
        <f t="shared" si="0"/>
        <v>44694.600000000006</v>
      </c>
      <c r="AD35" s="239">
        <f t="shared" si="1"/>
        <v>279341.25000000006</v>
      </c>
      <c r="AE35" s="239">
        <f t="shared" si="2"/>
        <v>55868.250000000007</v>
      </c>
      <c r="AF35" s="239">
        <f t="shared" si="3"/>
        <v>134083.80000000002</v>
      </c>
      <c r="AG35" s="239">
        <f t="shared" si="4"/>
        <v>324035.85000000003</v>
      </c>
      <c r="AH35" s="239">
        <f t="shared" si="5"/>
        <v>100562.85</v>
      </c>
      <c r="AI35" s="239"/>
      <c r="AJ35" s="239">
        <f t="shared" si="6"/>
        <v>994454.85000000021</v>
      </c>
      <c r="AK35" s="238">
        <f>+'Table 1'!Y59</f>
        <v>994454.85000000009</v>
      </c>
      <c r="AL35" s="20">
        <f t="shared" si="7"/>
        <v>0</v>
      </c>
    </row>
    <row r="36" spans="1:38" ht="15.6" x14ac:dyDescent="0.25">
      <c r="A36" s="228">
        <f>+'Table 1'!A60:C60</f>
        <v>0</v>
      </c>
      <c r="B36" s="229">
        <f>+'Table 1'!B60:D60</f>
        <v>80</v>
      </c>
      <c r="C36" s="229" t="str">
        <f>+'Table 1'!C60:E60</f>
        <v>mm</v>
      </c>
      <c r="D36" s="229" t="str">
        <f>+'Table 1'!D60:F60</f>
        <v>No</v>
      </c>
      <c r="E36" s="229">
        <f>+'Table 1'!E60:G60</f>
        <v>13033.050000000001</v>
      </c>
      <c r="F36" s="229">
        <f>+'Table 1'!F60:H60</f>
        <v>9</v>
      </c>
      <c r="G36" s="229">
        <f>+'Table 1'!G60:I60</f>
        <v>8</v>
      </c>
      <c r="H36" s="229">
        <f>+'Table 1'!H60:J60</f>
        <v>3</v>
      </c>
      <c r="I36" s="229">
        <f>+'Table 1'!I60:K60</f>
        <v>4</v>
      </c>
      <c r="J36" s="229">
        <f>+'Table 1'!J60:L60</f>
        <v>7</v>
      </c>
      <c r="K36" s="229">
        <f>+'Table 1'!K60:M60</f>
        <v>12</v>
      </c>
      <c r="L36" s="229">
        <f>+'Table 1'!L60:N60</f>
        <v>2</v>
      </c>
      <c r="M36" s="229">
        <f>+'Table 1'!M60:O60</f>
        <v>2</v>
      </c>
      <c r="N36" s="229">
        <f>+'Table 1'!N60:P60</f>
        <v>3</v>
      </c>
      <c r="O36" s="229">
        <f>+'Table 1'!O60:Q60</f>
        <v>8</v>
      </c>
      <c r="P36" s="229">
        <f>+'Table 1'!P60:R60</f>
        <v>14</v>
      </c>
      <c r="Q36" s="229">
        <f>+'Table 1'!Q60:S60</f>
        <v>18</v>
      </c>
      <c r="R36" s="229">
        <f>+'Table 1'!R60:T60</f>
        <v>4</v>
      </c>
      <c r="S36" s="229">
        <f>+'Table 1'!S60:U60</f>
        <v>4</v>
      </c>
      <c r="T36" s="229">
        <f>+'Table 1'!T60:V60</f>
        <v>0</v>
      </c>
      <c r="U36" s="229">
        <f>+'Table 1'!U60:W60</f>
        <v>0</v>
      </c>
      <c r="V36" s="229">
        <f>+'Table 1'!V60:X60</f>
        <v>42</v>
      </c>
      <c r="W36" s="229">
        <f>+'Table 1'!W60:Y60</f>
        <v>547388.10000000009</v>
      </c>
      <c r="X36" s="229">
        <f>+'Table 1'!X60:Z60</f>
        <v>56</v>
      </c>
      <c r="Y36" s="229">
        <f>+'Table 1'!Y60:AA60</f>
        <v>729850.8</v>
      </c>
      <c r="Z36" s="229">
        <f>+'Table 1'!Z60:AB60</f>
        <v>182462.69999999995</v>
      </c>
      <c r="AB36" s="239">
        <f t="shared" si="8"/>
        <v>104264.40000000001</v>
      </c>
      <c r="AC36" s="239">
        <f t="shared" si="0"/>
        <v>52132.200000000004</v>
      </c>
      <c r="AD36" s="239">
        <f t="shared" si="1"/>
        <v>156396.6</v>
      </c>
      <c r="AE36" s="239">
        <f t="shared" si="2"/>
        <v>26066.100000000002</v>
      </c>
      <c r="AF36" s="239">
        <f t="shared" si="3"/>
        <v>104264.40000000001</v>
      </c>
      <c r="AG36" s="239">
        <f t="shared" si="4"/>
        <v>234594.90000000002</v>
      </c>
      <c r="AH36" s="239">
        <f t="shared" si="5"/>
        <v>52132.200000000004</v>
      </c>
      <c r="AI36" s="239"/>
      <c r="AJ36" s="239">
        <f t="shared" si="6"/>
        <v>729850.8</v>
      </c>
      <c r="AK36" s="238">
        <f>+'Table 1'!Y60</f>
        <v>729850.8</v>
      </c>
      <c r="AL36" s="20">
        <f t="shared" si="7"/>
        <v>0</v>
      </c>
    </row>
    <row r="37" spans="1:38" ht="15.6" x14ac:dyDescent="0.25">
      <c r="A37" s="228">
        <f>+'Table 1'!A61:C61</f>
        <v>0</v>
      </c>
      <c r="B37" s="229">
        <f>+'Table 1'!B61:D61</f>
        <v>100</v>
      </c>
      <c r="C37" s="229" t="str">
        <f>+'Table 1'!C61:E61</f>
        <v xml:space="preserve">mm </v>
      </c>
      <c r="D37" s="229" t="str">
        <f>+'Table 1'!D61:F61</f>
        <v>No</v>
      </c>
      <c r="E37" s="229">
        <f>+'Table 1'!E61:G61</f>
        <v>14297.550000000001</v>
      </c>
      <c r="F37" s="229">
        <f>+'Table 1'!F61:H61</f>
        <v>1</v>
      </c>
      <c r="G37" s="229">
        <f>+'Table 1'!G61:I61</f>
        <v>2</v>
      </c>
      <c r="H37" s="229">
        <f>+'Table 1'!H61:J61</f>
        <v>0</v>
      </c>
      <c r="I37" s="229">
        <f>+'Table 1'!I61:K61</f>
        <v>0</v>
      </c>
      <c r="J37" s="229">
        <f>+'Table 1'!J61:L61</f>
        <v>6</v>
      </c>
      <c r="K37" s="229">
        <f>+'Table 1'!K61:M61</f>
        <v>5</v>
      </c>
      <c r="L37" s="229">
        <f>+'Table 1'!L61:N61</f>
        <v>5</v>
      </c>
      <c r="M37" s="229">
        <f>+'Table 1'!M61:O61</f>
        <v>4</v>
      </c>
      <c r="N37" s="229">
        <f>+'Table 1'!N61:P61</f>
        <v>2</v>
      </c>
      <c r="O37" s="229">
        <f>+'Table 1'!O61:Q61</f>
        <v>2</v>
      </c>
      <c r="P37" s="229">
        <f>+'Table 1'!P61:R61</f>
        <v>11</v>
      </c>
      <c r="Q37" s="229">
        <f>+'Table 1'!Q61:S61</f>
        <v>15</v>
      </c>
      <c r="R37" s="229">
        <f>+'Table 1'!R61:T61</f>
        <v>2</v>
      </c>
      <c r="S37" s="229">
        <f>+'Table 1'!S61:U61</f>
        <v>1</v>
      </c>
      <c r="T37" s="229">
        <f>+'Table 1'!T61:V61</f>
        <v>0</v>
      </c>
      <c r="U37" s="229">
        <f>+'Table 1'!U61:W61</f>
        <v>0</v>
      </c>
      <c r="V37" s="229">
        <f>+'Table 1'!V61:X61</f>
        <v>27</v>
      </c>
      <c r="W37" s="229">
        <f>+'Table 1'!W61:Y61</f>
        <v>386033.85000000003</v>
      </c>
      <c r="X37" s="229">
        <f>+'Table 1'!X61:Z61</f>
        <v>29</v>
      </c>
      <c r="Y37" s="229">
        <f>+'Table 1'!Y61:AA61</f>
        <v>414628.95</v>
      </c>
      <c r="Z37" s="229">
        <f>+'Table 1'!Z61:AB61</f>
        <v>28595.099999999977</v>
      </c>
      <c r="AB37" s="239">
        <f t="shared" si="8"/>
        <v>28595.100000000002</v>
      </c>
      <c r="AC37" s="239">
        <f t="shared" si="0"/>
        <v>0</v>
      </c>
      <c r="AD37" s="239">
        <f t="shared" si="1"/>
        <v>71487.75</v>
      </c>
      <c r="AE37" s="239">
        <f t="shared" si="2"/>
        <v>57190.200000000004</v>
      </c>
      <c r="AF37" s="239">
        <f t="shared" si="3"/>
        <v>28595.100000000002</v>
      </c>
      <c r="AG37" s="239">
        <f t="shared" si="4"/>
        <v>214463.25000000003</v>
      </c>
      <c r="AH37" s="239">
        <f t="shared" si="5"/>
        <v>14297.550000000001</v>
      </c>
      <c r="AI37" s="239"/>
      <c r="AJ37" s="239">
        <f t="shared" si="6"/>
        <v>414628.95</v>
      </c>
      <c r="AK37" s="238">
        <f>+'Table 1'!Y61</f>
        <v>414628.95</v>
      </c>
      <c r="AL37" s="20">
        <f t="shared" si="7"/>
        <v>0</v>
      </c>
    </row>
    <row r="38" spans="1:38" ht="15.6" x14ac:dyDescent="0.25">
      <c r="A38" s="228">
        <f>+'Table 1'!A62:C62</f>
        <v>0</v>
      </c>
      <c r="B38" s="229">
        <f>+'Table 1'!B62:D62</f>
        <v>150</v>
      </c>
      <c r="C38" s="229" t="str">
        <f>+'Table 1'!C62:E62</f>
        <v xml:space="preserve">mm </v>
      </c>
      <c r="D38" s="229" t="str">
        <f>+'Table 1'!D62:F62</f>
        <v>No</v>
      </c>
      <c r="E38" s="229">
        <f>+'Table 1'!E62:G62</f>
        <v>19768.75</v>
      </c>
      <c r="F38" s="229">
        <f>+'Table 1'!F62:H62</f>
        <v>5</v>
      </c>
      <c r="G38" s="229">
        <f>+'Table 1'!G62:I62</f>
        <v>5</v>
      </c>
      <c r="H38" s="229">
        <f>+'Table 1'!H62:J62</f>
        <v>0</v>
      </c>
      <c r="I38" s="229">
        <f>+'Table 1'!I62:K62</f>
        <v>0</v>
      </c>
      <c r="J38" s="229">
        <f>+'Table 1'!J62:L62</f>
        <v>10</v>
      </c>
      <c r="K38" s="229">
        <f>+'Table 1'!K62:M62</f>
        <v>7</v>
      </c>
      <c r="L38" s="229">
        <f>+'Table 1'!L62:N62</f>
        <v>0</v>
      </c>
      <c r="M38" s="229">
        <f>+'Table 1'!M62:O62</f>
        <v>0</v>
      </c>
      <c r="N38" s="229">
        <f>+'Table 1'!N62:P62</f>
        <v>5</v>
      </c>
      <c r="O38" s="229">
        <f>+'Table 1'!O62:Q62</f>
        <v>4</v>
      </c>
      <c r="P38" s="229">
        <f>+'Table 1'!P62:R62</f>
        <v>5</v>
      </c>
      <c r="Q38" s="229">
        <f>+'Table 1'!Q62:S62</f>
        <v>3</v>
      </c>
      <c r="R38" s="229">
        <f>+'Table 1'!R62:T62</f>
        <v>4</v>
      </c>
      <c r="S38" s="229">
        <f>+'Table 1'!S62:U62</f>
        <v>5</v>
      </c>
      <c r="T38" s="229">
        <f>+'Table 1'!T62:V62</f>
        <v>0</v>
      </c>
      <c r="U38" s="229">
        <f>+'Table 1'!U62:W62</f>
        <v>0</v>
      </c>
      <c r="V38" s="229">
        <f>+'Table 1'!V62:X62</f>
        <v>29</v>
      </c>
      <c r="W38" s="229">
        <f>+'Table 1'!W62:Y62</f>
        <v>573293.75</v>
      </c>
      <c r="X38" s="229">
        <f>+'Table 1'!X62:Z62</f>
        <v>24</v>
      </c>
      <c r="Y38" s="229">
        <f>+'Table 1'!Y62:AA62</f>
        <v>474450</v>
      </c>
      <c r="Z38" s="229">
        <f>+'Table 1'!Z62:AB62</f>
        <v>-98843.75</v>
      </c>
      <c r="AB38" s="239">
        <f t="shared" si="8"/>
        <v>98843.75</v>
      </c>
      <c r="AC38" s="239">
        <f t="shared" si="0"/>
        <v>0</v>
      </c>
      <c r="AD38" s="239">
        <f t="shared" si="1"/>
        <v>138381.25</v>
      </c>
      <c r="AE38" s="239">
        <f t="shared" si="2"/>
        <v>0</v>
      </c>
      <c r="AF38" s="239">
        <f t="shared" si="3"/>
        <v>79075</v>
      </c>
      <c r="AG38" s="239">
        <f t="shared" si="4"/>
        <v>59306.25</v>
      </c>
      <c r="AH38" s="239">
        <f t="shared" si="5"/>
        <v>98843.75</v>
      </c>
      <c r="AI38" s="239"/>
      <c r="AJ38" s="239">
        <f t="shared" si="6"/>
        <v>474450</v>
      </c>
      <c r="AK38" s="238">
        <f>+'Table 1'!Y62</f>
        <v>474450</v>
      </c>
      <c r="AL38" s="20">
        <f t="shared" si="7"/>
        <v>0</v>
      </c>
    </row>
    <row r="39" spans="1:38" ht="15.6" x14ac:dyDescent="0.25">
      <c r="A39" s="228">
        <f>+'Table 1'!A63:C63</f>
        <v>0</v>
      </c>
      <c r="B39" s="229">
        <f>+'Table 1'!B63:D63</f>
        <v>200</v>
      </c>
      <c r="C39" s="229" t="str">
        <f>+'Table 1'!C63:E63</f>
        <v xml:space="preserve">mm </v>
      </c>
      <c r="D39" s="229" t="str">
        <f>+'Table 1'!D63:F63</f>
        <v>No</v>
      </c>
      <c r="E39" s="229">
        <f>+'Table 1'!E63:G63</f>
        <v>30815.100000000002</v>
      </c>
      <c r="F39" s="229">
        <f>+'Table 1'!F63:H63</f>
        <v>0</v>
      </c>
      <c r="G39" s="229">
        <f>+'Table 1'!G63:I63</f>
        <v>0</v>
      </c>
      <c r="H39" s="229">
        <f>+'Table 1'!H63:J63</f>
        <v>0</v>
      </c>
      <c r="I39" s="229">
        <f>+'Table 1'!I63:K63</f>
        <v>0</v>
      </c>
      <c r="J39" s="229">
        <f>+'Table 1'!J63:L63</f>
        <v>9</v>
      </c>
      <c r="K39" s="229">
        <f>+'Table 1'!K63:M63</f>
        <v>10</v>
      </c>
      <c r="L39" s="229">
        <f>+'Table 1'!L63:N63</f>
        <v>0</v>
      </c>
      <c r="M39" s="229">
        <f>+'Table 1'!M63:O63</f>
        <v>0</v>
      </c>
      <c r="N39" s="229">
        <f>+'Table 1'!N63:P63</f>
        <v>0</v>
      </c>
      <c r="O39" s="229">
        <f>+'Table 1'!O63:Q63</f>
        <v>0</v>
      </c>
      <c r="P39" s="229">
        <f>+'Table 1'!P63:R63</f>
        <v>5</v>
      </c>
      <c r="Q39" s="229">
        <f>+'Table 1'!Q63:S63</f>
        <v>8</v>
      </c>
      <c r="R39" s="229">
        <f>+'Table 1'!R63:T63</f>
        <v>2</v>
      </c>
      <c r="S39" s="229">
        <f>+'Table 1'!S63:U63</f>
        <v>0</v>
      </c>
      <c r="T39" s="229">
        <f>+'Table 1'!T63:V63</f>
        <v>0</v>
      </c>
      <c r="U39" s="229">
        <f>+'Table 1'!U63:W63</f>
        <v>0</v>
      </c>
      <c r="V39" s="229">
        <f>+'Table 1'!V63:X63</f>
        <v>16</v>
      </c>
      <c r="W39" s="229">
        <f>+'Table 1'!W63:Y63</f>
        <v>493041.60000000003</v>
      </c>
      <c r="X39" s="229">
        <f>+'Table 1'!X63:Z63</f>
        <v>18</v>
      </c>
      <c r="Y39" s="229">
        <f>+'Table 1'!Y63:AA63</f>
        <v>554671.80000000005</v>
      </c>
      <c r="Z39" s="229">
        <f>+'Table 1'!Z63:AB63</f>
        <v>61630.200000000012</v>
      </c>
      <c r="AB39" s="239">
        <f t="shared" si="8"/>
        <v>0</v>
      </c>
      <c r="AC39" s="239">
        <f t="shared" si="0"/>
        <v>0</v>
      </c>
      <c r="AD39" s="239">
        <f t="shared" si="1"/>
        <v>308151</v>
      </c>
      <c r="AE39" s="239">
        <f t="shared" si="2"/>
        <v>0</v>
      </c>
      <c r="AF39" s="239">
        <f t="shared" si="3"/>
        <v>0</v>
      </c>
      <c r="AG39" s="239">
        <f t="shared" si="4"/>
        <v>246520.80000000002</v>
      </c>
      <c r="AH39" s="239">
        <f t="shared" si="5"/>
        <v>0</v>
      </c>
      <c r="AI39" s="239"/>
      <c r="AJ39" s="239">
        <f t="shared" si="6"/>
        <v>554671.80000000005</v>
      </c>
      <c r="AK39" s="238">
        <f>+'Table 1'!Y63</f>
        <v>554671.80000000005</v>
      </c>
      <c r="AL39" s="20">
        <f t="shared" si="7"/>
        <v>0</v>
      </c>
    </row>
    <row r="40" spans="1:38" ht="15.6" x14ac:dyDescent="0.25">
      <c r="A40" s="228">
        <f>+'Table 1'!A64:C64</f>
        <v>0</v>
      </c>
      <c r="B40" s="229">
        <f>+'Table 1'!B64:D64</f>
        <v>0</v>
      </c>
      <c r="C40" s="229">
        <f>+'Table 1'!C64:E64</f>
        <v>0</v>
      </c>
      <c r="D40" s="229">
        <f>+'Table 1'!D64:F64</f>
        <v>0</v>
      </c>
      <c r="E40" s="229">
        <f>+'Table 1'!E64:G64</f>
        <v>0</v>
      </c>
      <c r="F40" s="229">
        <f>+'Table 1'!F64:H64</f>
        <v>0</v>
      </c>
      <c r="G40" s="229">
        <f>+'Table 1'!G64:I64</f>
        <v>0</v>
      </c>
      <c r="H40" s="229">
        <f>+'Table 1'!H64:J64</f>
        <v>0</v>
      </c>
      <c r="I40" s="229">
        <f>+'Table 1'!I64:K64</f>
        <v>0</v>
      </c>
      <c r="J40" s="229">
        <f>+'Table 1'!J64:L64</f>
        <v>0</v>
      </c>
      <c r="K40" s="229">
        <f>+'Table 1'!K64:M64</f>
        <v>0</v>
      </c>
      <c r="L40" s="229">
        <f>+'Table 1'!L64:N64</f>
        <v>0</v>
      </c>
      <c r="M40" s="229">
        <f>+'Table 1'!M64:O64</f>
        <v>0</v>
      </c>
      <c r="N40" s="229">
        <f>+'Table 1'!N64:P64</f>
        <v>0</v>
      </c>
      <c r="O40" s="229">
        <f>+'Table 1'!O64:Q64</f>
        <v>0</v>
      </c>
      <c r="P40" s="229">
        <f>+'Table 1'!P64:R64</f>
        <v>0</v>
      </c>
      <c r="Q40" s="229">
        <f>+'Table 1'!Q64:S64</f>
        <v>0</v>
      </c>
      <c r="R40" s="229">
        <f>+'Table 1'!R64:T64</f>
        <v>0</v>
      </c>
      <c r="S40" s="229">
        <f>+'Table 1'!S64:U64</f>
        <v>0</v>
      </c>
      <c r="T40" s="229">
        <f>+'Table 1'!T64:V64</f>
        <v>0</v>
      </c>
      <c r="U40" s="229">
        <f>+'Table 1'!U64:W64</f>
        <v>0</v>
      </c>
      <c r="V40" s="229">
        <f>+'Table 1'!V64:X64</f>
        <v>0</v>
      </c>
      <c r="W40" s="229">
        <f>+'Table 1'!W64:Y64</f>
        <v>0</v>
      </c>
      <c r="X40" s="229">
        <f>+'Table 1'!X64:Z64</f>
        <v>0</v>
      </c>
      <c r="Y40" s="229">
        <f>+'Table 1'!Y64:AA64</f>
        <v>0</v>
      </c>
      <c r="Z40" s="229">
        <f>+'Table 1'!Z64:AB64</f>
        <v>0</v>
      </c>
      <c r="AB40" s="239">
        <f t="shared" si="8"/>
        <v>0</v>
      </c>
      <c r="AC40" s="239">
        <f t="shared" si="0"/>
        <v>0</v>
      </c>
      <c r="AD40" s="239">
        <f t="shared" si="1"/>
        <v>0</v>
      </c>
      <c r="AE40" s="239">
        <f t="shared" si="2"/>
        <v>0</v>
      </c>
      <c r="AF40" s="239">
        <f t="shared" si="3"/>
        <v>0</v>
      </c>
      <c r="AG40" s="239">
        <f t="shared" si="4"/>
        <v>0</v>
      </c>
      <c r="AH40" s="239">
        <f t="shared" si="5"/>
        <v>0</v>
      </c>
      <c r="AI40" s="239"/>
      <c r="AJ40" s="239">
        <f t="shared" si="6"/>
        <v>0</v>
      </c>
      <c r="AK40" s="238">
        <f>+'Table 1'!Y64</f>
        <v>0</v>
      </c>
      <c r="AL40" s="20">
        <f t="shared" si="7"/>
        <v>0</v>
      </c>
    </row>
    <row r="41" spans="1:38" ht="15.6" x14ac:dyDescent="0.25">
      <c r="A41" s="228" t="str">
        <f>+'Table 1'!A65:C65</f>
        <v>Item No. 10:- Air valves shaft</v>
      </c>
      <c r="B41" s="229">
        <f>+'Table 1'!B65:D65</f>
        <v>0</v>
      </c>
      <c r="C41" s="229">
        <f>+'Table 1'!C65:E65</f>
        <v>0</v>
      </c>
      <c r="D41" s="229">
        <f>+'Table 1'!D65:F65</f>
        <v>0</v>
      </c>
      <c r="E41" s="229">
        <f>+'Table 1'!E65:G65</f>
        <v>0</v>
      </c>
      <c r="F41" s="229">
        <f>+'Table 1'!F65:H65</f>
        <v>0</v>
      </c>
      <c r="G41" s="229">
        <f>+'Table 1'!G65:I65</f>
        <v>0</v>
      </c>
      <c r="H41" s="229">
        <f>+'Table 1'!H65:J65</f>
        <v>0</v>
      </c>
      <c r="I41" s="229">
        <f>+'Table 1'!I65:K65</f>
        <v>0</v>
      </c>
      <c r="J41" s="229">
        <f>+'Table 1'!J65:L65</f>
        <v>0</v>
      </c>
      <c r="K41" s="229">
        <f>+'Table 1'!K65:M65</f>
        <v>0</v>
      </c>
      <c r="L41" s="229">
        <f>+'Table 1'!L65:N65</f>
        <v>0</v>
      </c>
      <c r="M41" s="229">
        <f>+'Table 1'!M65:O65</f>
        <v>0</v>
      </c>
      <c r="N41" s="229">
        <f>+'Table 1'!N65:P65</f>
        <v>0</v>
      </c>
      <c r="O41" s="229">
        <f>+'Table 1'!O65:Q65</f>
        <v>0</v>
      </c>
      <c r="P41" s="229">
        <f>+'Table 1'!P65:R65</f>
        <v>0</v>
      </c>
      <c r="Q41" s="229">
        <f>+'Table 1'!Q65:S65</f>
        <v>0</v>
      </c>
      <c r="R41" s="229">
        <f>+'Table 1'!R65:T65</f>
        <v>0</v>
      </c>
      <c r="S41" s="229">
        <f>+'Table 1'!S65:U65</f>
        <v>0</v>
      </c>
      <c r="T41" s="229">
        <f>+'Table 1'!T65:V65</f>
        <v>0</v>
      </c>
      <c r="U41" s="229">
        <f>+'Table 1'!U65:W65</f>
        <v>0</v>
      </c>
      <c r="V41" s="229">
        <f>+'Table 1'!V65:X65</f>
        <v>0</v>
      </c>
      <c r="W41" s="229">
        <f>+'Table 1'!W65:Y65</f>
        <v>0</v>
      </c>
      <c r="X41" s="229">
        <f>+'Table 1'!X65:Z65</f>
        <v>0</v>
      </c>
      <c r="Y41" s="229">
        <f>+'Table 1'!Y65:AA65</f>
        <v>0</v>
      </c>
      <c r="Z41" s="229">
        <f>+'Table 1'!Z65:AB65</f>
        <v>0</v>
      </c>
      <c r="AB41" s="239">
        <f t="shared" si="8"/>
        <v>0</v>
      </c>
      <c r="AC41" s="239">
        <f t="shared" si="0"/>
        <v>0</v>
      </c>
      <c r="AD41" s="239">
        <f t="shared" si="1"/>
        <v>0</v>
      </c>
      <c r="AE41" s="239">
        <f t="shared" si="2"/>
        <v>0</v>
      </c>
      <c r="AF41" s="239">
        <f t="shared" si="3"/>
        <v>0</v>
      </c>
      <c r="AG41" s="239">
        <f t="shared" si="4"/>
        <v>0</v>
      </c>
      <c r="AH41" s="239">
        <f t="shared" si="5"/>
        <v>0</v>
      </c>
      <c r="AI41" s="239"/>
      <c r="AJ41" s="239">
        <f t="shared" si="6"/>
        <v>0</v>
      </c>
      <c r="AK41" s="238">
        <f>+'Table 1'!Y65</f>
        <v>0</v>
      </c>
      <c r="AL41" s="20">
        <f t="shared" si="7"/>
        <v>0</v>
      </c>
    </row>
    <row r="42" spans="1:38" ht="15.6" x14ac:dyDescent="0.25">
      <c r="A42" s="228">
        <f>+'Table 1'!A66:C66</f>
        <v>0</v>
      </c>
      <c r="B42" s="229" t="str">
        <f>+'Table 1'!B66:D66</f>
        <v>Upto 180 mm dia pipe line</v>
      </c>
      <c r="C42" s="229">
        <f>+'Table 1'!C66:E66</f>
        <v>0</v>
      </c>
      <c r="D42" s="229" t="str">
        <f>+'Table 1'!D66:F66</f>
        <v>No</v>
      </c>
      <c r="E42" s="229">
        <f>+'Table 1'!E66:G66</f>
        <v>7524</v>
      </c>
      <c r="F42" s="229">
        <f>+'Table 1'!F66:H66</f>
        <v>11</v>
      </c>
      <c r="G42" s="229">
        <f>+'Table 1'!G66:I66</f>
        <v>5</v>
      </c>
      <c r="H42" s="229">
        <f>+'Table 1'!H66:J66</f>
        <v>5</v>
      </c>
      <c r="I42" s="229">
        <f>+'Table 1'!I66:K66</f>
        <v>4</v>
      </c>
      <c r="J42" s="229">
        <f>+'Table 1'!J66:L66</f>
        <v>27</v>
      </c>
      <c r="K42" s="229">
        <f>+'Table 1'!K66:M66</f>
        <v>25</v>
      </c>
      <c r="L42" s="229">
        <f>+'Table 1'!L66:N66</f>
        <v>4</v>
      </c>
      <c r="M42" s="229">
        <f>+'Table 1'!M66:O66</f>
        <v>5</v>
      </c>
      <c r="N42" s="229">
        <f>+'Table 1'!N66:P66</f>
        <v>14</v>
      </c>
      <c r="O42" s="229">
        <f>+'Table 1'!O66:Q66</f>
        <v>12</v>
      </c>
      <c r="P42" s="229">
        <f>+'Table 1'!P66:R66</f>
        <v>24</v>
      </c>
      <c r="Q42" s="229">
        <f>+'Table 1'!Q66:S66</f>
        <v>29</v>
      </c>
      <c r="R42" s="229">
        <f>+'Table 1'!R66:T66</f>
        <v>6</v>
      </c>
      <c r="S42" s="229">
        <f>+'Table 1'!S66:U66</f>
        <v>9</v>
      </c>
      <c r="T42" s="229">
        <f>+'Table 1'!T66:V66</f>
        <v>0</v>
      </c>
      <c r="U42" s="229">
        <f>+'Table 1'!U66:W66</f>
        <v>0</v>
      </c>
      <c r="V42" s="229">
        <f>+'Table 1'!V66:X66</f>
        <v>91</v>
      </c>
      <c r="W42" s="229">
        <f>+'Table 1'!W66:Y66</f>
        <v>684684</v>
      </c>
      <c r="X42" s="229">
        <f>+'Table 1'!X66:Z66</f>
        <v>89</v>
      </c>
      <c r="Y42" s="229">
        <f>+'Table 1'!Y66:AA66</f>
        <v>669636</v>
      </c>
      <c r="Z42" s="229">
        <f>+'Table 1'!Z66:AB66</f>
        <v>-15048</v>
      </c>
      <c r="AB42" s="239">
        <f t="shared" si="8"/>
        <v>37620</v>
      </c>
      <c r="AC42" s="239">
        <f t="shared" si="0"/>
        <v>30096</v>
      </c>
      <c r="AD42" s="239">
        <f t="shared" si="1"/>
        <v>188100</v>
      </c>
      <c r="AE42" s="239">
        <f t="shared" si="2"/>
        <v>37620</v>
      </c>
      <c r="AF42" s="239">
        <f t="shared" si="3"/>
        <v>90288</v>
      </c>
      <c r="AG42" s="239">
        <f t="shared" si="4"/>
        <v>218196</v>
      </c>
      <c r="AH42" s="239">
        <f t="shared" si="5"/>
        <v>67716</v>
      </c>
      <c r="AI42" s="239"/>
      <c r="AJ42" s="239">
        <f t="shared" si="6"/>
        <v>669636</v>
      </c>
      <c r="AK42" s="238">
        <f>+'Table 1'!Y66</f>
        <v>669636</v>
      </c>
      <c r="AL42" s="20">
        <f t="shared" si="7"/>
        <v>0</v>
      </c>
    </row>
    <row r="43" spans="1:38" ht="15.6" x14ac:dyDescent="0.25">
      <c r="A43" s="228">
        <f>+'Table 1'!A67:C67</f>
        <v>0</v>
      </c>
      <c r="B43" s="229" t="str">
        <f>+'Table 1'!B67:D67</f>
        <v>200 m dia to 400 mm dia pipe line</v>
      </c>
      <c r="C43" s="229">
        <f>+'Table 1'!C67:E67</f>
        <v>0</v>
      </c>
      <c r="D43" s="229" t="str">
        <f>+'Table 1'!D67:F67</f>
        <v>No</v>
      </c>
      <c r="E43" s="229">
        <f>+'Table 1'!E67:G67</f>
        <v>9076.3000000000011</v>
      </c>
      <c r="F43" s="229">
        <f>+'Table 1'!F67:H67</f>
        <v>10</v>
      </c>
      <c r="G43" s="229">
        <f>+'Table 1'!G67:I67</f>
        <v>10</v>
      </c>
      <c r="H43" s="229">
        <f>+'Table 1'!H67:J67</f>
        <v>3</v>
      </c>
      <c r="I43" s="229">
        <f>+'Table 1'!I67:K67</f>
        <v>4</v>
      </c>
      <c r="J43" s="229">
        <f>+'Table 1'!J67:L67</f>
        <v>13</v>
      </c>
      <c r="K43" s="229">
        <f>+'Table 1'!K67:M67</f>
        <v>17</v>
      </c>
      <c r="L43" s="229">
        <f>+'Table 1'!L67:N67</f>
        <v>7</v>
      </c>
      <c r="M43" s="229">
        <f>+'Table 1'!M67:O67</f>
        <v>6</v>
      </c>
      <c r="N43" s="229">
        <f>+'Table 1'!N67:P67</f>
        <v>5</v>
      </c>
      <c r="O43" s="229">
        <f>+'Table 1'!O67:Q67</f>
        <v>10</v>
      </c>
      <c r="P43" s="229">
        <f>+'Table 1'!P67:R67</f>
        <v>25</v>
      </c>
      <c r="Q43" s="229">
        <f>+'Table 1'!Q67:S67</f>
        <v>33</v>
      </c>
      <c r="R43" s="229">
        <f>+'Table 1'!R67:T67</f>
        <v>6</v>
      </c>
      <c r="S43" s="229">
        <f>+'Table 1'!S67:U67</f>
        <v>5</v>
      </c>
      <c r="T43" s="229">
        <f>+'Table 1'!T67:V67</f>
        <v>0</v>
      </c>
      <c r="U43" s="229">
        <f>+'Table 1'!U67:W67</f>
        <v>0</v>
      </c>
      <c r="V43" s="229">
        <f>+'Table 1'!V67:X67</f>
        <v>69</v>
      </c>
      <c r="W43" s="229">
        <f>+'Table 1'!W67:Y67</f>
        <v>626264.70000000007</v>
      </c>
      <c r="X43" s="229">
        <f>+'Table 1'!X67:Z67</f>
        <v>85</v>
      </c>
      <c r="Y43" s="229">
        <f>+'Table 1'!Y67:AA67</f>
        <v>771485.50000000012</v>
      </c>
      <c r="Z43" s="229">
        <f>+'Table 1'!Z67:AB67</f>
        <v>145220.80000000005</v>
      </c>
      <c r="AB43" s="239">
        <f t="shared" si="8"/>
        <v>90763.000000000015</v>
      </c>
      <c r="AC43" s="239">
        <f t="shared" si="0"/>
        <v>36305.200000000004</v>
      </c>
      <c r="AD43" s="239">
        <f t="shared" si="1"/>
        <v>154297.1</v>
      </c>
      <c r="AE43" s="239">
        <f t="shared" si="2"/>
        <v>54457.8</v>
      </c>
      <c r="AF43" s="239">
        <f t="shared" si="3"/>
        <v>90763.000000000015</v>
      </c>
      <c r="AG43" s="239">
        <f t="shared" si="4"/>
        <v>299517.90000000002</v>
      </c>
      <c r="AH43" s="239">
        <f t="shared" si="5"/>
        <v>45381.500000000007</v>
      </c>
      <c r="AI43" s="239"/>
      <c r="AJ43" s="239">
        <f t="shared" si="6"/>
        <v>771485.5</v>
      </c>
      <c r="AK43" s="238">
        <f>+'Table 1'!Y67</f>
        <v>771485.50000000012</v>
      </c>
      <c r="AL43" s="20">
        <f t="shared" si="7"/>
        <v>0</v>
      </c>
    </row>
    <row r="44" spans="1:38" ht="15.6" x14ac:dyDescent="0.25">
      <c r="A44" s="228">
        <f>+'Table 1'!A68:C68</f>
        <v>0</v>
      </c>
      <c r="B44" s="229" t="str">
        <f>+'Table 1'!B68:D68</f>
        <v>450 m dia to900 mm dia pipe line</v>
      </c>
      <c r="C44" s="229">
        <f>+'Table 1'!C68:E68</f>
        <v>0</v>
      </c>
      <c r="D44" s="229" t="str">
        <f>+'Table 1'!D68:F68</f>
        <v>No</v>
      </c>
      <c r="E44" s="229">
        <f>+'Table 1'!E68:G68</f>
        <v>17283.400000000001</v>
      </c>
      <c r="F44" s="229">
        <f>+'Table 1'!F68:H68</f>
        <v>5</v>
      </c>
      <c r="G44" s="229">
        <f>+'Table 1'!G68:I68</f>
        <v>5</v>
      </c>
      <c r="H44" s="229">
        <f>+'Table 1'!H68:J68</f>
        <v>0</v>
      </c>
      <c r="I44" s="229">
        <f>+'Table 1'!I68:K68</f>
        <v>0</v>
      </c>
      <c r="J44" s="229">
        <f>+'Table 1'!J68:L68</f>
        <v>19</v>
      </c>
      <c r="K44" s="229">
        <f>+'Table 1'!K68:M68</f>
        <v>17</v>
      </c>
      <c r="L44" s="229">
        <f>+'Table 1'!L68:N68</f>
        <v>0</v>
      </c>
      <c r="M44" s="229">
        <f>+'Table 1'!M68:O68</f>
        <v>0</v>
      </c>
      <c r="N44" s="229">
        <f>+'Table 1'!N68:P68</f>
        <v>5</v>
      </c>
      <c r="O44" s="229">
        <f>+'Table 1'!O68:Q68</f>
        <v>4</v>
      </c>
      <c r="P44" s="229">
        <f>+'Table 1'!P68:R68</f>
        <v>10</v>
      </c>
      <c r="Q44" s="229">
        <f>+'Table 1'!Q68:S68</f>
        <v>11</v>
      </c>
      <c r="R44" s="229">
        <f>+'Table 1'!R68:T68</f>
        <v>6</v>
      </c>
      <c r="S44" s="229">
        <f>+'Table 1'!S68:U68</f>
        <v>5</v>
      </c>
      <c r="T44" s="229">
        <f>+'Table 1'!T68:V68</f>
        <v>0</v>
      </c>
      <c r="U44" s="229">
        <f>+'Table 1'!U68:W68</f>
        <v>0</v>
      </c>
      <c r="V44" s="229">
        <f>+'Table 1'!V68:X68</f>
        <v>45</v>
      </c>
      <c r="W44" s="229">
        <f>+'Table 1'!W68:Y68</f>
        <v>777753.00000000012</v>
      </c>
      <c r="X44" s="229">
        <f>+'Table 1'!X68:Z68</f>
        <v>42</v>
      </c>
      <c r="Y44" s="229">
        <f>+'Table 1'!Y68:AA68</f>
        <v>725902.8</v>
      </c>
      <c r="Z44" s="229">
        <f>+'Table 1'!Z68:AB68</f>
        <v>-51850.20000000007</v>
      </c>
      <c r="AB44" s="239">
        <f t="shared" si="8"/>
        <v>86417</v>
      </c>
      <c r="AC44" s="239">
        <f t="shared" si="0"/>
        <v>0</v>
      </c>
      <c r="AD44" s="239">
        <f t="shared" si="1"/>
        <v>293817.80000000005</v>
      </c>
      <c r="AE44" s="239">
        <f t="shared" si="2"/>
        <v>0</v>
      </c>
      <c r="AF44" s="239">
        <f t="shared" si="3"/>
        <v>69133.600000000006</v>
      </c>
      <c r="AG44" s="239">
        <f t="shared" si="4"/>
        <v>190117.40000000002</v>
      </c>
      <c r="AH44" s="239">
        <f t="shared" si="5"/>
        <v>86417</v>
      </c>
      <c r="AI44" s="239"/>
      <c r="AJ44" s="239">
        <f t="shared" si="6"/>
        <v>725902.8</v>
      </c>
      <c r="AK44" s="238">
        <f>+'Table 1'!Y68</f>
        <v>725902.8</v>
      </c>
      <c r="AL44" s="20">
        <f t="shared" si="7"/>
        <v>0</v>
      </c>
    </row>
    <row r="45" spans="1:38" ht="15.6" x14ac:dyDescent="0.25">
      <c r="A45" s="228">
        <f>+'Table 1'!A69:C69</f>
        <v>0</v>
      </c>
      <c r="B45" s="229">
        <f>+'Table 1'!B69:D69</f>
        <v>0</v>
      </c>
      <c r="C45" s="229">
        <f>+'Table 1'!C69:E69</f>
        <v>0</v>
      </c>
      <c r="D45" s="229">
        <f>+'Table 1'!D69:F69</f>
        <v>0</v>
      </c>
      <c r="E45" s="229">
        <f>+'Table 1'!E69:G69</f>
        <v>0</v>
      </c>
      <c r="F45" s="229">
        <f>+'Table 1'!F69:H69</f>
        <v>0</v>
      </c>
      <c r="G45" s="229">
        <f>+'Table 1'!G69:I69</f>
        <v>0</v>
      </c>
      <c r="H45" s="229">
        <f>+'Table 1'!H69:J69</f>
        <v>0</v>
      </c>
      <c r="I45" s="229">
        <f>+'Table 1'!I69:K69</f>
        <v>0</v>
      </c>
      <c r="J45" s="229">
        <f>+'Table 1'!J69:L69</f>
        <v>0</v>
      </c>
      <c r="K45" s="229">
        <f>+'Table 1'!K69:M69</f>
        <v>0</v>
      </c>
      <c r="L45" s="229">
        <f>+'Table 1'!L69:N69</f>
        <v>0</v>
      </c>
      <c r="M45" s="229">
        <f>+'Table 1'!M69:O69</f>
        <v>0</v>
      </c>
      <c r="N45" s="229">
        <f>+'Table 1'!N69:P69</f>
        <v>0</v>
      </c>
      <c r="O45" s="229">
        <f>+'Table 1'!O69:Q69</f>
        <v>0</v>
      </c>
      <c r="P45" s="229">
        <f>+'Table 1'!P69:R69</f>
        <v>0</v>
      </c>
      <c r="Q45" s="229">
        <f>+'Table 1'!Q69:S69</f>
        <v>0</v>
      </c>
      <c r="R45" s="229">
        <f>+'Table 1'!R69:T69</f>
        <v>0</v>
      </c>
      <c r="S45" s="229">
        <f>+'Table 1'!S69:U69</f>
        <v>0</v>
      </c>
      <c r="T45" s="229">
        <f>+'Table 1'!T69:V69</f>
        <v>0</v>
      </c>
      <c r="U45" s="229">
        <f>+'Table 1'!U69:W69</f>
        <v>0</v>
      </c>
      <c r="V45" s="229">
        <f>+'Table 1'!V69:X69</f>
        <v>0</v>
      </c>
      <c r="W45" s="229">
        <f>+'Table 1'!W69:Y69</f>
        <v>0</v>
      </c>
      <c r="X45" s="229">
        <f>+'Table 1'!X69:Z69</f>
        <v>0</v>
      </c>
      <c r="Y45" s="229">
        <f>+'Table 1'!Y69:AA69</f>
        <v>0</v>
      </c>
      <c r="Z45" s="229">
        <f>+'Table 1'!Z69:AB69</f>
        <v>0</v>
      </c>
      <c r="AB45" s="239">
        <f t="shared" si="8"/>
        <v>0</v>
      </c>
      <c r="AC45" s="239">
        <f t="shared" si="0"/>
        <v>0</v>
      </c>
      <c r="AD45" s="239">
        <f t="shared" si="1"/>
        <v>0</v>
      </c>
      <c r="AE45" s="239">
        <f t="shared" si="2"/>
        <v>0</v>
      </c>
      <c r="AF45" s="239">
        <f t="shared" si="3"/>
        <v>0</v>
      </c>
      <c r="AG45" s="239">
        <f t="shared" si="4"/>
        <v>0</v>
      </c>
      <c r="AH45" s="239">
        <f t="shared" si="5"/>
        <v>0</v>
      </c>
      <c r="AI45" s="239"/>
      <c r="AJ45" s="239">
        <f t="shared" si="6"/>
        <v>0</v>
      </c>
      <c r="AK45" s="238">
        <f>+'Table 1'!Y69</f>
        <v>0</v>
      </c>
      <c r="AL45" s="20">
        <f t="shared" si="7"/>
        <v>0</v>
      </c>
    </row>
    <row r="46" spans="1:38" ht="15.6" x14ac:dyDescent="0.25">
      <c r="A46" s="228" t="str">
        <f>+'Table 1'!A70:C70</f>
        <v>Item No. 11:-  M15</v>
      </c>
      <c r="B46" s="229">
        <f>+'Table 1'!B70:D70</f>
        <v>0</v>
      </c>
      <c r="C46" s="229">
        <f>+'Table 1'!C70:E70</f>
        <v>0</v>
      </c>
      <c r="D46" s="229">
        <f>+'Table 1'!D70:F70</f>
        <v>0</v>
      </c>
      <c r="E46" s="229">
        <f>+'Table 1'!E70:G70</f>
        <v>5507.6</v>
      </c>
      <c r="F46" s="229">
        <f>+'Table 1'!F70:H70</f>
        <v>79.09</v>
      </c>
      <c r="G46" s="229">
        <f>+'Table 1'!G70:I70</f>
        <v>68.36</v>
      </c>
      <c r="H46" s="229">
        <f>+'Table 1'!H70:J70</f>
        <v>42.34</v>
      </c>
      <c r="I46" s="229">
        <f>+'Table 1'!I70:K70</f>
        <v>44.580000000000005</v>
      </c>
      <c r="J46" s="229">
        <f>+'Table 1'!J70:L70</f>
        <v>182.99</v>
      </c>
      <c r="K46" s="229">
        <f>+'Table 1'!K70:M70</f>
        <v>182.32000000000002</v>
      </c>
      <c r="L46" s="229">
        <f>+'Table 1'!L70:N70</f>
        <v>39.35</v>
      </c>
      <c r="M46" s="229">
        <f>+'Table 1'!M70:O70</f>
        <v>38.910000000000004</v>
      </c>
      <c r="N46" s="229">
        <f>+'Table 1'!N70:P70</f>
        <v>83.4</v>
      </c>
      <c r="O46" s="229">
        <f>+'Table 1'!O70:Q70</f>
        <v>88.850000000000009</v>
      </c>
      <c r="P46" s="229">
        <f>+'Table 1'!P70:R70</f>
        <v>220.25</v>
      </c>
      <c r="Q46" s="229">
        <f>+'Table 1'!Q70:S70</f>
        <v>250.47999999999996</v>
      </c>
      <c r="R46" s="229">
        <f>+'Table 1'!R70:T70</f>
        <v>64.03</v>
      </c>
      <c r="S46" s="229">
        <f>+'Table 1'!S70:U70</f>
        <v>64.239999999999995</v>
      </c>
      <c r="T46" s="229">
        <f>+'Table 1'!T70:V70</f>
        <v>0</v>
      </c>
      <c r="U46" s="229">
        <f>+'Table 1'!U70:W70</f>
        <v>0</v>
      </c>
      <c r="V46" s="229">
        <f>+'Table 1'!V70:X70</f>
        <v>711.45</v>
      </c>
      <c r="W46" s="229">
        <f>+'Table 1'!W70:Y70</f>
        <v>3918382.0200000005</v>
      </c>
      <c r="X46" s="229">
        <f>+'Table 1'!X70:Z70</f>
        <v>737.74000000000012</v>
      </c>
      <c r="Y46" s="229">
        <f>+'Table 1'!Y70:AA70</f>
        <v>4063176.824000001</v>
      </c>
      <c r="Z46" s="229">
        <f>+'Table 1'!Z70:AB70</f>
        <v>144794.80400000047</v>
      </c>
      <c r="AB46" s="239">
        <f t="shared" si="8"/>
        <v>376499.53600000002</v>
      </c>
      <c r="AC46" s="239">
        <f t="shared" si="0"/>
        <v>245528.80800000005</v>
      </c>
      <c r="AD46" s="239">
        <f t="shared" si="1"/>
        <v>1004145.6320000002</v>
      </c>
      <c r="AE46" s="239">
        <f t="shared" si="2"/>
        <v>214300.71600000004</v>
      </c>
      <c r="AF46" s="239">
        <f t="shared" si="3"/>
        <v>489350.26000000007</v>
      </c>
      <c r="AG46" s="239">
        <f t="shared" si="4"/>
        <v>1379543.6479999998</v>
      </c>
      <c r="AH46" s="239">
        <f t="shared" si="5"/>
        <v>353808.22399999999</v>
      </c>
      <c r="AI46" s="239"/>
      <c r="AJ46" s="239">
        <f t="shared" si="6"/>
        <v>4063176.8240000005</v>
      </c>
      <c r="AK46" s="238">
        <f>+'Table 1'!Y70</f>
        <v>4063176.824000001</v>
      </c>
      <c r="AL46" s="20">
        <f t="shared" si="7"/>
        <v>0</v>
      </c>
    </row>
    <row r="47" spans="1:38" ht="15.6" x14ac:dyDescent="0.25">
      <c r="A47" s="228" t="str">
        <f>+'Table 1'!A71:C71</f>
        <v>Item No. 12:-  M20</v>
      </c>
      <c r="B47" s="229">
        <f>+'Table 1'!B71:D71</f>
        <v>0</v>
      </c>
      <c r="C47" s="229">
        <f>+'Table 1'!C71:E71</f>
        <v>0</v>
      </c>
      <c r="D47" s="229">
        <f>+'Table 1'!D71:F71</f>
        <v>0</v>
      </c>
      <c r="E47" s="229">
        <f>+'Table 1'!E71:G71</f>
        <v>7210.7</v>
      </c>
      <c r="F47" s="229">
        <f>+'Table 1'!F71:H71</f>
        <v>477.59877749999998</v>
      </c>
      <c r="G47" s="229">
        <f>+'Table 1'!G71:I71</f>
        <v>419.02481237500001</v>
      </c>
      <c r="H47" s="229">
        <f>+'Table 1'!H71:J71</f>
        <v>210.24</v>
      </c>
      <c r="I47" s="229">
        <f>+'Table 1'!I71:K71</f>
        <v>224.94</v>
      </c>
      <c r="J47" s="229">
        <f>+'Table 1'!J71:L71</f>
        <v>1065.7034478750002</v>
      </c>
      <c r="K47" s="229">
        <f>+'Table 1'!K71:M71</f>
        <v>1061.3039016250002</v>
      </c>
      <c r="L47" s="229">
        <f>+'Table 1'!L71:N71</f>
        <v>257.41508599999997</v>
      </c>
      <c r="M47" s="229">
        <f>+'Table 1'!M71:O71</f>
        <v>254.51303200000001</v>
      </c>
      <c r="N47" s="229">
        <f>+'Table 1'!N71:P71</f>
        <v>524.08399337499998</v>
      </c>
      <c r="O47" s="229">
        <f>+'Table 1'!O71:Q71</f>
        <v>555.95012212500001</v>
      </c>
      <c r="P47" s="229">
        <f>+'Table 1'!P71:R71</f>
        <v>1308.25</v>
      </c>
      <c r="Q47" s="229">
        <f>+'Table 1'!Q71:S71</f>
        <v>1479.17</v>
      </c>
      <c r="R47" s="229">
        <f>+'Table 1'!R71:T71</f>
        <v>390.46687087500004</v>
      </c>
      <c r="S47" s="229">
        <f>+'Table 1'!S71:U71</f>
        <v>389.86752050000001</v>
      </c>
      <c r="T47" s="229">
        <f>+'Table 1'!T71:V71</f>
        <v>0</v>
      </c>
      <c r="U47" s="229">
        <f>+'Table 1'!U71:W71</f>
        <v>0</v>
      </c>
      <c r="V47" s="229">
        <f>+'Table 1'!V71:X71</f>
        <v>4233.7581756250001</v>
      </c>
      <c r="W47" s="229">
        <f>+'Table 1'!W71:Y71</f>
        <v>30528360.076979186</v>
      </c>
      <c r="X47" s="229">
        <f>+'Table 1'!X71:Z71</f>
        <v>4384.7693886250008</v>
      </c>
      <c r="Y47" s="229">
        <f>+'Table 1'!Y71:AA71</f>
        <v>31617256.630558293</v>
      </c>
      <c r="Z47" s="229">
        <f>+'Table 1'!Z71:AB71</f>
        <v>1088896.5535791069</v>
      </c>
      <c r="AB47" s="239">
        <f t="shared" si="8"/>
        <v>3021462.2145924126</v>
      </c>
      <c r="AC47" s="239">
        <f t="shared" si="0"/>
        <v>1621974.858</v>
      </c>
      <c r="AD47" s="239">
        <f t="shared" si="1"/>
        <v>7652744.0434473893</v>
      </c>
      <c r="AE47" s="239">
        <f t="shared" si="2"/>
        <v>1835217.1198424001</v>
      </c>
      <c r="AF47" s="239">
        <f t="shared" si="3"/>
        <v>4008789.5456067375</v>
      </c>
      <c r="AG47" s="239">
        <f t="shared" si="4"/>
        <v>10665851.119000001</v>
      </c>
      <c r="AH47" s="239">
        <f t="shared" si="5"/>
        <v>2811217.73006935</v>
      </c>
      <c r="AI47" s="239"/>
      <c r="AJ47" s="239">
        <f t="shared" si="6"/>
        <v>31617256.630558293</v>
      </c>
      <c r="AK47" s="238">
        <f>+'Table 1'!Y71</f>
        <v>31617256.630558293</v>
      </c>
      <c r="AL47" s="20">
        <f t="shared" si="7"/>
        <v>0</v>
      </c>
    </row>
    <row r="48" spans="1:38" ht="15.6" x14ac:dyDescent="0.25">
      <c r="A48" s="228">
        <f>+'Table 1'!A72:C72</f>
        <v>0</v>
      </c>
      <c r="B48" s="229">
        <f>+'Table 1'!B72:D72</f>
        <v>0</v>
      </c>
      <c r="C48" s="229">
        <f>+'Table 1'!C72:E72</f>
        <v>0</v>
      </c>
      <c r="D48" s="229">
        <f>+'Table 1'!D72:F72</f>
        <v>0</v>
      </c>
      <c r="E48" s="229">
        <f>+'Table 1'!E72:G72</f>
        <v>0</v>
      </c>
      <c r="F48" s="229">
        <f>+'Table 1'!F72:H72</f>
        <v>0</v>
      </c>
      <c r="G48" s="229">
        <f>+'Table 1'!G72:I72</f>
        <v>0</v>
      </c>
      <c r="H48" s="229">
        <f>+'Table 1'!H72:J72</f>
        <v>0</v>
      </c>
      <c r="I48" s="229">
        <f>+'Table 1'!I72:K72</f>
        <v>0</v>
      </c>
      <c r="J48" s="229">
        <f>+'Table 1'!J72:L72</f>
        <v>0</v>
      </c>
      <c r="K48" s="229">
        <f>+'Table 1'!K72:M72</f>
        <v>0</v>
      </c>
      <c r="L48" s="229">
        <f>+'Table 1'!L72:N72</f>
        <v>0</v>
      </c>
      <c r="M48" s="229">
        <f>+'Table 1'!M72:O72</f>
        <v>0</v>
      </c>
      <c r="N48" s="229">
        <f>+'Table 1'!N72:P72</f>
        <v>0</v>
      </c>
      <c r="O48" s="229">
        <f>+'Table 1'!O72:Q72</f>
        <v>0</v>
      </c>
      <c r="P48" s="229">
        <f>+'Table 1'!P72:R72</f>
        <v>0</v>
      </c>
      <c r="Q48" s="229">
        <f>+'Table 1'!Q72:S72</f>
        <v>0</v>
      </c>
      <c r="R48" s="229">
        <f>+'Table 1'!R72:T72</f>
        <v>0</v>
      </c>
      <c r="S48" s="229">
        <f>+'Table 1'!S72:U72</f>
        <v>0</v>
      </c>
      <c r="T48" s="229">
        <f>+'Table 1'!T72:V72</f>
        <v>0</v>
      </c>
      <c r="U48" s="229">
        <f>+'Table 1'!U72:W72</f>
        <v>0</v>
      </c>
      <c r="V48" s="229">
        <f>+'Table 1'!V72:X72</f>
        <v>0</v>
      </c>
      <c r="W48" s="229">
        <f>+'Table 1'!W72:Y72</f>
        <v>0</v>
      </c>
      <c r="X48" s="229">
        <f>+'Table 1'!X72:Z72</f>
        <v>0</v>
      </c>
      <c r="Y48" s="229">
        <f>+'Table 1'!Y72:AA72</f>
        <v>0</v>
      </c>
      <c r="Z48" s="229">
        <f>+'Table 1'!Z72:AB72</f>
        <v>0</v>
      </c>
      <c r="AB48" s="239">
        <f t="shared" si="8"/>
        <v>0</v>
      </c>
      <c r="AC48" s="239">
        <f t="shared" si="0"/>
        <v>0</v>
      </c>
      <c r="AD48" s="239">
        <f t="shared" si="1"/>
        <v>0</v>
      </c>
      <c r="AE48" s="239">
        <f t="shared" si="2"/>
        <v>0</v>
      </c>
      <c r="AF48" s="239">
        <f t="shared" si="3"/>
        <v>0</v>
      </c>
      <c r="AG48" s="239">
        <f t="shared" si="4"/>
        <v>0</v>
      </c>
      <c r="AH48" s="239">
        <f t="shared" si="5"/>
        <v>0</v>
      </c>
      <c r="AI48" s="239"/>
      <c r="AJ48" s="239">
        <f t="shared" si="6"/>
        <v>0</v>
      </c>
      <c r="AK48" s="238">
        <f>+'Table 1'!Y72</f>
        <v>0</v>
      </c>
      <c r="AL48" s="20">
        <f t="shared" si="7"/>
        <v>0</v>
      </c>
    </row>
    <row r="49" spans="1:38" ht="27.6" x14ac:dyDescent="0.25">
      <c r="A49" s="228" t="str">
        <f>+'Table 1'!A73:C73</f>
        <v>Item No.13:-Providing and fixing in position TMT  -
FE  -  500  bar  reinforcement  of  various</v>
      </c>
      <c r="B49" s="229">
        <f>+'Table 1'!B73:D73</f>
        <v>0</v>
      </c>
      <c r="C49" s="229">
        <f>+'Table 1'!C73:E73</f>
        <v>0</v>
      </c>
      <c r="D49" s="229" t="str">
        <f>+'Table 1'!D73:F73</f>
        <v>MT</v>
      </c>
      <c r="E49" s="229">
        <f>+'Table 1'!E73:G73</f>
        <v>76604.45</v>
      </c>
      <c r="F49" s="229">
        <f>+'Table 1'!F73:H73</f>
        <v>26.88</v>
      </c>
      <c r="G49" s="229">
        <f>+'Table 1'!G73:I73</f>
        <v>23.972999999999999</v>
      </c>
      <c r="H49" s="229">
        <f>+'Table 1'!H73:J73</f>
        <v>14.08</v>
      </c>
      <c r="I49" s="229">
        <f>+'Table 1'!I73:K73</f>
        <v>14.81</v>
      </c>
      <c r="J49" s="229">
        <f>+'Table 1'!J73:L73</f>
        <v>56.6</v>
      </c>
      <c r="K49" s="229">
        <f>+'Table 1'!K73:M73</f>
        <v>56.38</v>
      </c>
      <c r="L49" s="229">
        <f>+'Table 1'!L73:N73</f>
        <v>15.47</v>
      </c>
      <c r="M49" s="229">
        <f>+'Table 1'!M73:O73</f>
        <v>15.32</v>
      </c>
      <c r="N49" s="229">
        <f>+'Table 1'!N73:P73</f>
        <v>29.35</v>
      </c>
      <c r="O49" s="229">
        <f>+'Table 1'!O73:Q73</f>
        <v>30.94</v>
      </c>
      <c r="P49" s="229">
        <f>+'Table 1'!P73:R73</f>
        <v>68.489999999999995</v>
      </c>
      <c r="Q49" s="229">
        <f>+'Table 1'!Q73:S73</f>
        <v>77.03</v>
      </c>
      <c r="R49" s="229">
        <f>+'Table 1'!R73:T73</f>
        <v>22.12</v>
      </c>
      <c r="S49" s="229">
        <f>+'Table 1'!S73:U73</f>
        <v>22.29</v>
      </c>
      <c r="T49" s="229">
        <f>+'Table 1'!T73:V73</f>
        <v>0</v>
      </c>
      <c r="U49" s="229">
        <f>+'Table 1'!U73:W73</f>
        <v>0</v>
      </c>
      <c r="V49" s="229">
        <f>+'Table 1'!V73:X73</f>
        <v>232.99</v>
      </c>
      <c r="W49" s="229">
        <f>+'Table 1'!W73:Y73</f>
        <v>17848070.805500001</v>
      </c>
      <c r="X49" s="229">
        <f>+'Table 1'!X73:Z73</f>
        <v>240.74299999999999</v>
      </c>
      <c r="Y49" s="229">
        <f>+'Table 1'!Y73:AA73</f>
        <v>18441985.106349997</v>
      </c>
      <c r="Z49" s="229">
        <f>+'Table 1'!Z73:AB73</f>
        <v>593914.30084999651</v>
      </c>
      <c r="AB49" s="239">
        <f t="shared" si="8"/>
        <v>1836438.4798499998</v>
      </c>
      <c r="AC49" s="239">
        <f t="shared" si="0"/>
        <v>1134511.9044999999</v>
      </c>
      <c r="AD49" s="239">
        <f t="shared" si="1"/>
        <v>4318958.8909999998</v>
      </c>
      <c r="AE49" s="239">
        <f t="shared" si="2"/>
        <v>1173580.1739999999</v>
      </c>
      <c r="AF49" s="239">
        <f t="shared" si="3"/>
        <v>2370141.6830000002</v>
      </c>
      <c r="AG49" s="239">
        <f t="shared" si="4"/>
        <v>5900840.7834999999</v>
      </c>
      <c r="AH49" s="239">
        <f t="shared" si="5"/>
        <v>1707513.1904999998</v>
      </c>
      <c r="AI49" s="239"/>
      <c r="AJ49" s="239">
        <f t="shared" si="6"/>
        <v>18441985.106349997</v>
      </c>
      <c r="AK49" s="238">
        <f>+'Table 1'!Y73</f>
        <v>18441985.106349997</v>
      </c>
      <c r="AL49" s="20">
        <f t="shared" si="7"/>
        <v>0</v>
      </c>
    </row>
    <row r="50" spans="1:38" ht="27.6" x14ac:dyDescent="0.25">
      <c r="A50" s="228" t="str">
        <f>+'Table 1'!A74:C74</f>
        <v>Item No. 14:- Providing, supplying &amp; erecting of CI
double flange sluice valve confirming for IS-14846</v>
      </c>
      <c r="B50" s="229">
        <f>+'Table 1'!B74:D74</f>
        <v>0</v>
      </c>
      <c r="C50" s="229">
        <f>+'Table 1'!C74:E74</f>
        <v>0</v>
      </c>
      <c r="D50" s="229">
        <f>+'Table 1'!D74:F74</f>
        <v>0</v>
      </c>
      <c r="E50" s="229">
        <f>+'Table 1'!E74:G74</f>
        <v>0</v>
      </c>
      <c r="F50" s="229">
        <f>+'Table 1'!F74:H74</f>
        <v>0</v>
      </c>
      <c r="G50" s="229">
        <f>+'Table 1'!G74:I74</f>
        <v>0</v>
      </c>
      <c r="H50" s="229">
        <f>+'Table 1'!H74:J74</f>
        <v>0</v>
      </c>
      <c r="I50" s="229">
        <f>+'Table 1'!I74:K74</f>
        <v>0</v>
      </c>
      <c r="J50" s="229">
        <f>+'Table 1'!J74:L74</f>
        <v>0</v>
      </c>
      <c r="K50" s="229">
        <f>+'Table 1'!K74:M74</f>
        <v>0</v>
      </c>
      <c r="L50" s="229">
        <f>+'Table 1'!L74:N74</f>
        <v>0</v>
      </c>
      <c r="M50" s="229">
        <f>+'Table 1'!M74:O74</f>
        <v>0</v>
      </c>
      <c r="N50" s="229">
        <f>+'Table 1'!N74:P74</f>
        <v>0</v>
      </c>
      <c r="O50" s="229">
        <f>+'Table 1'!O74:Q74</f>
        <v>0</v>
      </c>
      <c r="P50" s="229">
        <f>+'Table 1'!P74:R74</f>
        <v>0</v>
      </c>
      <c r="Q50" s="229">
        <f>+'Table 1'!Q74:S74</f>
        <v>0</v>
      </c>
      <c r="R50" s="229">
        <f>+'Table 1'!R74:T74</f>
        <v>0</v>
      </c>
      <c r="S50" s="229">
        <f>+'Table 1'!S74:U74</f>
        <v>0</v>
      </c>
      <c r="T50" s="229">
        <f>+'Table 1'!T74:V74</f>
        <v>0</v>
      </c>
      <c r="U50" s="229">
        <f>+'Table 1'!U74:W74</f>
        <v>0</v>
      </c>
      <c r="V50" s="229">
        <f>+'Table 1'!V74:X74</f>
        <v>0</v>
      </c>
      <c r="W50" s="229">
        <f>+'Table 1'!W74:Y74</f>
        <v>0</v>
      </c>
      <c r="X50" s="229">
        <f>+'Table 1'!X74:Z74</f>
        <v>0</v>
      </c>
      <c r="Y50" s="229">
        <f>+'Table 1'!Y74:AA74</f>
        <v>0</v>
      </c>
      <c r="Z50" s="229">
        <f>+'Table 1'!Z74:AB74</f>
        <v>0</v>
      </c>
      <c r="AB50" s="239">
        <f t="shared" si="8"/>
        <v>0</v>
      </c>
      <c r="AC50" s="239">
        <f t="shared" si="0"/>
        <v>0</v>
      </c>
      <c r="AD50" s="239">
        <f t="shared" si="1"/>
        <v>0</v>
      </c>
      <c r="AE50" s="239">
        <f t="shared" si="2"/>
        <v>0</v>
      </c>
      <c r="AF50" s="239">
        <f t="shared" si="3"/>
        <v>0</v>
      </c>
      <c r="AG50" s="239">
        <f t="shared" si="4"/>
        <v>0</v>
      </c>
      <c r="AH50" s="239">
        <f t="shared" si="5"/>
        <v>0</v>
      </c>
      <c r="AI50" s="239"/>
      <c r="AJ50" s="239">
        <f t="shared" si="6"/>
        <v>0</v>
      </c>
      <c r="AK50" s="238">
        <f>+'Table 1'!Y74</f>
        <v>0</v>
      </c>
      <c r="AL50" s="20">
        <f t="shared" si="7"/>
        <v>0</v>
      </c>
    </row>
    <row r="51" spans="1:38" ht="15.6" x14ac:dyDescent="0.25">
      <c r="A51" s="228" t="str">
        <f>+'Table 1'!A75:C75</f>
        <v>c</v>
      </c>
      <c r="B51" s="229">
        <f>+'Table 1'!B75:D75</f>
        <v>100</v>
      </c>
      <c r="C51" s="229" t="str">
        <f>+'Table 1'!C75:E75</f>
        <v>mm</v>
      </c>
      <c r="D51" s="229" t="str">
        <f>+'Table 1'!D75:F75</f>
        <v>No.</v>
      </c>
      <c r="E51" s="229">
        <f>+'Table 1'!E75:G75</f>
        <v>11767.5</v>
      </c>
      <c r="F51" s="229">
        <f>+'Table 1'!F75:H75</f>
        <v>18</v>
      </c>
      <c r="G51" s="229">
        <f>+'Table 1'!G75:I75</f>
        <v>18</v>
      </c>
      <c r="H51" s="229">
        <f>+'Table 1'!H75:J75</f>
        <v>7</v>
      </c>
      <c r="I51" s="229">
        <f>+'Table 1'!I75:K75</f>
        <v>7</v>
      </c>
      <c r="J51" s="229">
        <f>+'Table 1'!J75:L75</f>
        <v>47</v>
      </c>
      <c r="K51" s="229">
        <f>+'Table 1'!K75:M75</f>
        <v>47</v>
      </c>
      <c r="L51" s="229">
        <f>+'Table 1'!L75:N75</f>
        <v>7</v>
      </c>
      <c r="M51" s="229">
        <f>+'Table 1'!M75:O75</f>
        <v>7</v>
      </c>
      <c r="N51" s="229">
        <f>+'Table 1'!N75:P75</f>
        <v>19</v>
      </c>
      <c r="O51" s="229">
        <f>+'Table 1'!O75:Q75</f>
        <v>19</v>
      </c>
      <c r="P51" s="229">
        <f>+'Table 1'!P75:R75</f>
        <v>95</v>
      </c>
      <c r="Q51" s="229">
        <f>+'Table 1'!Q75:S75</f>
        <v>95</v>
      </c>
      <c r="R51" s="229">
        <f>+'Table 1'!R75:T75</f>
        <v>7</v>
      </c>
      <c r="S51" s="229">
        <f>+'Table 1'!S75:U75</f>
        <v>7</v>
      </c>
      <c r="T51" s="229">
        <f>+'Table 1'!T75:V75</f>
        <v>0</v>
      </c>
      <c r="U51" s="229">
        <f>+'Table 1'!U75:W75</f>
        <v>0</v>
      </c>
      <c r="V51" s="229">
        <f>+'Table 1'!V75:X75</f>
        <v>200</v>
      </c>
      <c r="W51" s="229">
        <f>+'Table 1'!W75:Y75</f>
        <v>2353500</v>
      </c>
      <c r="X51" s="229">
        <f>+'Table 1'!X75:Z75</f>
        <v>200</v>
      </c>
      <c r="Y51" s="229">
        <f>+'Table 1'!Y75:AA75</f>
        <v>2353500</v>
      </c>
      <c r="Z51" s="229">
        <f>+'Table 1'!Z75:AB75</f>
        <v>0</v>
      </c>
      <c r="AB51" s="239">
        <f t="shared" si="8"/>
        <v>211815</v>
      </c>
      <c r="AC51" s="239">
        <f t="shared" si="0"/>
        <v>82372.5</v>
      </c>
      <c r="AD51" s="239">
        <f t="shared" si="1"/>
        <v>553072.5</v>
      </c>
      <c r="AE51" s="239">
        <f t="shared" si="2"/>
        <v>82372.5</v>
      </c>
      <c r="AF51" s="239">
        <f t="shared" si="3"/>
        <v>223582.5</v>
      </c>
      <c r="AG51" s="239">
        <f t="shared" si="4"/>
        <v>1117912.5</v>
      </c>
      <c r="AH51" s="239">
        <f t="shared" si="5"/>
        <v>82372.5</v>
      </c>
      <c r="AI51" s="239"/>
      <c r="AJ51" s="239">
        <f t="shared" si="6"/>
        <v>2353500</v>
      </c>
      <c r="AK51" s="238">
        <f>+'Table 1'!Y75</f>
        <v>2353500</v>
      </c>
      <c r="AL51" s="20">
        <f t="shared" si="7"/>
        <v>0</v>
      </c>
    </row>
    <row r="52" spans="1:38" ht="15.6" x14ac:dyDescent="0.25">
      <c r="A52" s="228" t="str">
        <f>+'Table 1'!A76:C76</f>
        <v>d</v>
      </c>
      <c r="B52" s="229">
        <f>+'Table 1'!B76:D76</f>
        <v>150</v>
      </c>
      <c r="C52" s="229" t="str">
        <f>+'Table 1'!C76:E76</f>
        <v>mm</v>
      </c>
      <c r="D52" s="229" t="str">
        <f>+'Table 1'!D76:F76</f>
        <v>No.</v>
      </c>
      <c r="E52" s="229">
        <f>+'Table 1'!E76:G76</f>
        <v>16556.95</v>
      </c>
      <c r="F52" s="229">
        <f>+'Table 1'!F76:H76</f>
        <v>5</v>
      </c>
      <c r="G52" s="229">
        <f>+'Table 1'!G76:I76</f>
        <v>5</v>
      </c>
      <c r="H52" s="229">
        <f>+'Table 1'!H76:J76</f>
        <v>1</v>
      </c>
      <c r="I52" s="229">
        <f>+'Table 1'!I76:K76</f>
        <v>1</v>
      </c>
      <c r="J52" s="229">
        <f>+'Table 1'!J76:L76</f>
        <v>3</v>
      </c>
      <c r="K52" s="229">
        <f>+'Table 1'!K76:M76</f>
        <v>3</v>
      </c>
      <c r="L52" s="229">
        <f>+'Table 1'!L76:N76</f>
        <v>1</v>
      </c>
      <c r="M52" s="229">
        <f>+'Table 1'!M76:O76</f>
        <v>1</v>
      </c>
      <c r="N52" s="229">
        <f>+'Table 1'!N76:P76</f>
        <v>5</v>
      </c>
      <c r="O52" s="229">
        <f>+'Table 1'!O76:Q76</f>
        <v>5</v>
      </c>
      <c r="P52" s="229">
        <f>+'Table 1'!P76:R76</f>
        <v>13</v>
      </c>
      <c r="Q52" s="229">
        <f>+'Table 1'!Q76:S76</f>
        <v>13</v>
      </c>
      <c r="R52" s="229">
        <f>+'Table 1'!R76:T76</f>
        <v>10</v>
      </c>
      <c r="S52" s="229">
        <f>+'Table 1'!S76:U76</f>
        <v>10</v>
      </c>
      <c r="T52" s="229">
        <f>+'Table 1'!T76:V76</f>
        <v>0</v>
      </c>
      <c r="U52" s="229">
        <f>+'Table 1'!U76:W76</f>
        <v>0</v>
      </c>
      <c r="V52" s="229">
        <f>+'Table 1'!V76:X76</f>
        <v>38</v>
      </c>
      <c r="W52" s="229">
        <f>+'Table 1'!W76:Y76</f>
        <v>629164.1</v>
      </c>
      <c r="X52" s="229">
        <f>+'Table 1'!X76:Z76</f>
        <v>38</v>
      </c>
      <c r="Y52" s="229">
        <f>+'Table 1'!Y76:AA76</f>
        <v>629164.1</v>
      </c>
      <c r="Z52" s="229">
        <f>+'Table 1'!Z76:AB76</f>
        <v>0</v>
      </c>
      <c r="AB52" s="239">
        <f t="shared" si="8"/>
        <v>82784.75</v>
      </c>
      <c r="AC52" s="239">
        <f t="shared" si="0"/>
        <v>16556.95</v>
      </c>
      <c r="AD52" s="239">
        <f t="shared" si="1"/>
        <v>49670.850000000006</v>
      </c>
      <c r="AE52" s="239">
        <f t="shared" si="2"/>
        <v>16556.95</v>
      </c>
      <c r="AF52" s="239">
        <f t="shared" si="3"/>
        <v>82784.75</v>
      </c>
      <c r="AG52" s="239">
        <f t="shared" si="4"/>
        <v>215240.35</v>
      </c>
      <c r="AH52" s="239">
        <f t="shared" si="5"/>
        <v>165569.5</v>
      </c>
      <c r="AI52" s="239"/>
      <c r="AJ52" s="239">
        <f t="shared" si="6"/>
        <v>629164.1</v>
      </c>
      <c r="AK52" s="238">
        <f>+'Table 1'!Y76</f>
        <v>629164.1</v>
      </c>
      <c r="AL52" s="20">
        <f t="shared" si="7"/>
        <v>0</v>
      </c>
    </row>
    <row r="53" spans="1:38" ht="15.6" x14ac:dyDescent="0.25">
      <c r="A53" s="228" t="str">
        <f>+'Table 1'!A77:C77</f>
        <v>e</v>
      </c>
      <c r="B53" s="229">
        <f>+'Table 1'!B77:D77</f>
        <v>200</v>
      </c>
      <c r="C53" s="229" t="str">
        <f>+'Table 1'!C77:E77</f>
        <v>mm</v>
      </c>
      <c r="D53" s="229" t="str">
        <f>+'Table 1'!D77:F77</f>
        <v>No.</v>
      </c>
      <c r="E53" s="229">
        <f>+'Table 1'!E77:G77</f>
        <v>25959</v>
      </c>
      <c r="F53" s="229">
        <f>+'Table 1'!F77:H77</f>
        <v>3</v>
      </c>
      <c r="G53" s="229">
        <f>+'Table 1'!G77:I77</f>
        <v>3</v>
      </c>
      <c r="H53" s="229">
        <f>+'Table 1'!H77:J77</f>
        <v>2</v>
      </c>
      <c r="I53" s="229">
        <f>+'Table 1'!I77:K77</f>
        <v>2</v>
      </c>
      <c r="J53" s="229">
        <f>+'Table 1'!J77:L77</f>
        <v>3</v>
      </c>
      <c r="K53" s="229">
        <f>+'Table 1'!K77:M77</f>
        <v>3</v>
      </c>
      <c r="L53" s="229">
        <f>+'Table 1'!L77:N77</f>
        <v>2</v>
      </c>
      <c r="M53" s="229">
        <f>+'Table 1'!M77:O77</f>
        <v>2</v>
      </c>
      <c r="N53" s="229">
        <f>+'Table 1'!N77:P77</f>
        <v>2</v>
      </c>
      <c r="O53" s="229">
        <f>+'Table 1'!O77:Q77</f>
        <v>2</v>
      </c>
      <c r="P53" s="229">
        <f>+'Table 1'!P77:R77</f>
        <v>6</v>
      </c>
      <c r="Q53" s="229">
        <f>+'Table 1'!Q77:S77</f>
        <v>6</v>
      </c>
      <c r="R53" s="229">
        <f>+'Table 1'!R77:T77</f>
        <v>4</v>
      </c>
      <c r="S53" s="229">
        <f>+'Table 1'!S77:U77</f>
        <v>4</v>
      </c>
      <c r="T53" s="229">
        <f>+'Table 1'!T77:V77</f>
        <v>0</v>
      </c>
      <c r="U53" s="229">
        <f>+'Table 1'!U77:W77</f>
        <v>0</v>
      </c>
      <c r="V53" s="229">
        <f>+'Table 1'!V77:X77</f>
        <v>22</v>
      </c>
      <c r="W53" s="229">
        <f>+'Table 1'!W77:Y77</f>
        <v>571098</v>
      </c>
      <c r="X53" s="229">
        <f>+'Table 1'!X77:Z77</f>
        <v>22</v>
      </c>
      <c r="Y53" s="229">
        <f>+'Table 1'!Y77:AA77</f>
        <v>571098</v>
      </c>
      <c r="Z53" s="229">
        <f>+'Table 1'!Z77:AB77</f>
        <v>0</v>
      </c>
      <c r="AB53" s="239">
        <f t="shared" si="8"/>
        <v>77877</v>
      </c>
      <c r="AC53" s="239">
        <f t="shared" si="0"/>
        <v>51918</v>
      </c>
      <c r="AD53" s="239">
        <f t="shared" si="1"/>
        <v>77877</v>
      </c>
      <c r="AE53" s="239">
        <f t="shared" si="2"/>
        <v>51918</v>
      </c>
      <c r="AF53" s="239">
        <f t="shared" si="3"/>
        <v>51918</v>
      </c>
      <c r="AG53" s="239">
        <f t="shared" si="4"/>
        <v>155754</v>
      </c>
      <c r="AH53" s="239">
        <f t="shared" si="5"/>
        <v>103836</v>
      </c>
      <c r="AI53" s="239"/>
      <c r="AJ53" s="239">
        <f t="shared" si="6"/>
        <v>571098</v>
      </c>
      <c r="AK53" s="238">
        <f>+'Table 1'!Y77</f>
        <v>571098</v>
      </c>
      <c r="AL53" s="20">
        <f t="shared" si="7"/>
        <v>0</v>
      </c>
    </row>
    <row r="54" spans="1:38" ht="15.6" x14ac:dyDescent="0.25">
      <c r="A54" s="228" t="str">
        <f>+'Table 1'!A78:C78</f>
        <v>f</v>
      </c>
      <c r="B54" s="229">
        <f>+'Table 1'!B78:D78</f>
        <v>250</v>
      </c>
      <c r="C54" s="229" t="str">
        <f>+'Table 1'!C78:E78</f>
        <v>mm</v>
      </c>
      <c r="D54" s="229" t="str">
        <f>+'Table 1'!D78:F78</f>
        <v>No.</v>
      </c>
      <c r="E54" s="229">
        <f>+'Table 1'!E78:G78</f>
        <v>44962.1</v>
      </c>
      <c r="F54" s="229">
        <f>+'Table 1'!F78:H78</f>
        <v>1</v>
      </c>
      <c r="G54" s="229">
        <f>+'Table 1'!G78:I78</f>
        <v>1</v>
      </c>
      <c r="H54" s="229">
        <f>+'Table 1'!H78:J78</f>
        <v>0</v>
      </c>
      <c r="I54" s="229">
        <f>+'Table 1'!I78:K78</f>
        <v>0</v>
      </c>
      <c r="J54" s="229">
        <f>+'Table 1'!J78:L78</f>
        <v>3</v>
      </c>
      <c r="K54" s="229">
        <f>+'Table 1'!K78:M78</f>
        <v>3</v>
      </c>
      <c r="L54" s="229">
        <f>+'Table 1'!L78:N78</f>
        <v>4</v>
      </c>
      <c r="M54" s="229">
        <f>+'Table 1'!M78:O78</f>
        <v>4</v>
      </c>
      <c r="N54" s="229">
        <f>+'Table 1'!N78:P78</f>
        <v>1</v>
      </c>
      <c r="O54" s="229">
        <f>+'Table 1'!O78:Q78</f>
        <v>1</v>
      </c>
      <c r="P54" s="229">
        <f>+'Table 1'!P78:R78</f>
        <v>2</v>
      </c>
      <c r="Q54" s="229">
        <f>+'Table 1'!Q78:S78</f>
        <v>2</v>
      </c>
      <c r="R54" s="229">
        <f>+'Table 1'!R78:T78</f>
        <v>1</v>
      </c>
      <c r="S54" s="229">
        <f>+'Table 1'!S78:U78</f>
        <v>1</v>
      </c>
      <c r="T54" s="229">
        <f>+'Table 1'!T78:V78</f>
        <v>0</v>
      </c>
      <c r="U54" s="229">
        <f>+'Table 1'!U78:W78</f>
        <v>0</v>
      </c>
      <c r="V54" s="229">
        <f>+'Table 1'!V78:X78</f>
        <v>12</v>
      </c>
      <c r="W54" s="229">
        <f>+'Table 1'!W78:Y78</f>
        <v>539545.19999999995</v>
      </c>
      <c r="X54" s="229">
        <f>+'Table 1'!X78:Z78</f>
        <v>12</v>
      </c>
      <c r="Y54" s="229">
        <f>+'Table 1'!Y78:AA78</f>
        <v>539545.19999999995</v>
      </c>
      <c r="Z54" s="229">
        <f>+'Table 1'!Z78:AB78</f>
        <v>0</v>
      </c>
      <c r="AB54" s="239">
        <f t="shared" si="8"/>
        <v>44962.1</v>
      </c>
      <c r="AC54" s="239">
        <f t="shared" si="0"/>
        <v>0</v>
      </c>
      <c r="AD54" s="239">
        <f t="shared" si="1"/>
        <v>134886.29999999999</v>
      </c>
      <c r="AE54" s="239">
        <f t="shared" si="2"/>
        <v>179848.4</v>
      </c>
      <c r="AF54" s="239">
        <f t="shared" si="3"/>
        <v>44962.1</v>
      </c>
      <c r="AG54" s="239">
        <f t="shared" si="4"/>
        <v>89924.2</v>
      </c>
      <c r="AH54" s="239">
        <f t="shared" si="5"/>
        <v>44962.1</v>
      </c>
      <c r="AI54" s="239"/>
      <c r="AJ54" s="239">
        <f t="shared" si="6"/>
        <v>539545.19999999995</v>
      </c>
      <c r="AK54" s="238">
        <f>+'Table 1'!Y78</f>
        <v>539545.19999999995</v>
      </c>
      <c r="AL54" s="20">
        <f t="shared" si="7"/>
        <v>0</v>
      </c>
    </row>
    <row r="55" spans="1:38" ht="15.6" x14ac:dyDescent="0.25">
      <c r="A55" s="228" t="str">
        <f>+'Table 1'!A79:C79</f>
        <v>g</v>
      </c>
      <c r="B55" s="229">
        <f>+'Table 1'!B79:D79</f>
        <v>300</v>
      </c>
      <c r="C55" s="229" t="str">
        <f>+'Table 1'!C79:E79</f>
        <v>mm</v>
      </c>
      <c r="D55" s="229" t="str">
        <f>+'Table 1'!D79:F79</f>
        <v>No.</v>
      </c>
      <c r="E55" s="229">
        <f>+'Table 1'!E79:G79</f>
        <v>59153.75</v>
      </c>
      <c r="F55" s="229">
        <f>+'Table 1'!F79:H79</f>
        <v>0</v>
      </c>
      <c r="G55" s="229">
        <f>+'Table 1'!G79:I79</f>
        <v>0</v>
      </c>
      <c r="H55" s="229">
        <f>+'Table 1'!H79:J79</f>
        <v>1</v>
      </c>
      <c r="I55" s="229">
        <f>+'Table 1'!I79:K79</f>
        <v>1</v>
      </c>
      <c r="J55" s="229">
        <f>+'Table 1'!J79:L79</f>
        <v>3</v>
      </c>
      <c r="K55" s="229">
        <f>+'Table 1'!K79:M79</f>
        <v>3</v>
      </c>
      <c r="L55" s="229">
        <f>+'Table 1'!L79:N79</f>
        <v>0</v>
      </c>
      <c r="M55" s="229">
        <f>+'Table 1'!M79:O79</f>
        <v>0</v>
      </c>
      <c r="N55" s="229">
        <f>+'Table 1'!N79:P79</f>
        <v>0</v>
      </c>
      <c r="O55" s="229">
        <f>+'Table 1'!O79:Q79</f>
        <v>0</v>
      </c>
      <c r="P55" s="229">
        <f>+'Table 1'!P79:R79</f>
        <v>3</v>
      </c>
      <c r="Q55" s="229">
        <f>+'Table 1'!Q79:S79</f>
        <v>3</v>
      </c>
      <c r="R55" s="229">
        <f>+'Table 1'!R79:T79</f>
        <v>1</v>
      </c>
      <c r="S55" s="229">
        <f>+'Table 1'!S79:U79</f>
        <v>1</v>
      </c>
      <c r="T55" s="229">
        <f>+'Table 1'!T79:V79</f>
        <v>0</v>
      </c>
      <c r="U55" s="229">
        <f>+'Table 1'!U79:W79</f>
        <v>0</v>
      </c>
      <c r="V55" s="229">
        <f>+'Table 1'!V79:X79</f>
        <v>8</v>
      </c>
      <c r="W55" s="229">
        <f>+'Table 1'!W79:Y79</f>
        <v>473230</v>
      </c>
      <c r="X55" s="229">
        <f>+'Table 1'!X79:Z79</f>
        <v>8</v>
      </c>
      <c r="Y55" s="229">
        <f>+'Table 1'!Y79:AA79</f>
        <v>473230</v>
      </c>
      <c r="Z55" s="229">
        <f>+'Table 1'!Z79:AB79</f>
        <v>0</v>
      </c>
      <c r="AB55" s="239">
        <f t="shared" si="8"/>
        <v>0</v>
      </c>
      <c r="AC55" s="239">
        <f t="shared" si="0"/>
        <v>59153.75</v>
      </c>
      <c r="AD55" s="239">
        <f t="shared" si="1"/>
        <v>177461.25</v>
      </c>
      <c r="AE55" s="239">
        <f t="shared" si="2"/>
        <v>0</v>
      </c>
      <c r="AF55" s="239">
        <f t="shared" si="3"/>
        <v>0</v>
      </c>
      <c r="AG55" s="239">
        <f t="shared" si="4"/>
        <v>177461.25</v>
      </c>
      <c r="AH55" s="239">
        <f t="shared" si="5"/>
        <v>59153.75</v>
      </c>
      <c r="AI55" s="239"/>
      <c r="AJ55" s="239">
        <f t="shared" si="6"/>
        <v>473230</v>
      </c>
      <c r="AK55" s="238">
        <f>+'Table 1'!Y79</f>
        <v>473230</v>
      </c>
      <c r="AL55" s="20">
        <f t="shared" si="7"/>
        <v>0</v>
      </c>
    </row>
    <row r="56" spans="1:38" ht="15.6" x14ac:dyDescent="0.25">
      <c r="A56" s="228" t="str">
        <f>+'Table 1'!A80:C80</f>
        <v>h</v>
      </c>
      <c r="B56" s="229">
        <f>+'Table 1'!B80:D80</f>
        <v>350</v>
      </c>
      <c r="C56" s="229" t="str">
        <f>+'Table 1'!C80:E80</f>
        <v>mm</v>
      </c>
      <c r="D56" s="229" t="str">
        <f>+'Table 1'!D80:F80</f>
        <v>No.</v>
      </c>
      <c r="E56" s="229">
        <f>+'Table 1'!E80:G80</f>
        <v>75117.75</v>
      </c>
      <c r="F56" s="229">
        <f>+'Table 1'!F80:H80</f>
        <v>1</v>
      </c>
      <c r="G56" s="229">
        <f>+'Table 1'!G80:I80</f>
        <v>1</v>
      </c>
      <c r="H56" s="229">
        <f>+'Table 1'!H80:J80</f>
        <v>0</v>
      </c>
      <c r="I56" s="229">
        <f>+'Table 1'!I80:K80</f>
        <v>0</v>
      </c>
      <c r="J56" s="229">
        <f>+'Table 1'!J80:L80</f>
        <v>4</v>
      </c>
      <c r="K56" s="229">
        <f>+'Table 1'!K80:M80</f>
        <v>4</v>
      </c>
      <c r="L56" s="229">
        <f>+'Table 1'!L80:N80</f>
        <v>0</v>
      </c>
      <c r="M56" s="229">
        <f>+'Table 1'!M80:O80</f>
        <v>0</v>
      </c>
      <c r="N56" s="229">
        <f>+'Table 1'!N80:P80</f>
        <v>4</v>
      </c>
      <c r="O56" s="229">
        <f>+'Table 1'!O80:Q80</f>
        <v>4</v>
      </c>
      <c r="P56" s="229">
        <f>+'Table 1'!P80:R80</f>
        <v>3</v>
      </c>
      <c r="Q56" s="229">
        <f>+'Table 1'!Q80:S80</f>
        <v>3</v>
      </c>
      <c r="R56" s="229">
        <f>+'Table 1'!R80:T80</f>
        <v>1</v>
      </c>
      <c r="S56" s="229">
        <f>+'Table 1'!S80:U80</f>
        <v>1</v>
      </c>
      <c r="T56" s="229">
        <f>+'Table 1'!T80:V80</f>
        <v>0</v>
      </c>
      <c r="U56" s="229">
        <f>+'Table 1'!U80:W80</f>
        <v>0</v>
      </c>
      <c r="V56" s="229">
        <f>+'Table 1'!V80:X80</f>
        <v>13</v>
      </c>
      <c r="W56" s="229">
        <f>+'Table 1'!W80:Y80</f>
        <v>976530.75</v>
      </c>
      <c r="X56" s="229">
        <f>+'Table 1'!X80:Z80</f>
        <v>13</v>
      </c>
      <c r="Y56" s="229">
        <f>+'Table 1'!Y80:AA80</f>
        <v>976530.75</v>
      </c>
      <c r="Z56" s="229">
        <f>+'Table 1'!Z80:AB80</f>
        <v>0</v>
      </c>
      <c r="AB56" s="239">
        <f t="shared" si="8"/>
        <v>75117.75</v>
      </c>
      <c r="AC56" s="239">
        <f t="shared" si="0"/>
        <v>0</v>
      </c>
      <c r="AD56" s="239">
        <f t="shared" si="1"/>
        <v>300471</v>
      </c>
      <c r="AE56" s="239">
        <f t="shared" si="2"/>
        <v>0</v>
      </c>
      <c r="AF56" s="239">
        <f t="shared" si="3"/>
        <v>300471</v>
      </c>
      <c r="AG56" s="239">
        <f t="shared" si="4"/>
        <v>225353.25</v>
      </c>
      <c r="AH56" s="239">
        <f t="shared" si="5"/>
        <v>75117.75</v>
      </c>
      <c r="AI56" s="239"/>
      <c r="AJ56" s="239">
        <f t="shared" si="6"/>
        <v>976530.75</v>
      </c>
      <c r="AK56" s="238">
        <f>+'Table 1'!Y80</f>
        <v>976530.75</v>
      </c>
      <c r="AL56" s="20">
        <f t="shared" si="7"/>
        <v>0</v>
      </c>
    </row>
    <row r="57" spans="1:38" ht="15.6" x14ac:dyDescent="0.25">
      <c r="A57" s="228" t="str">
        <f>+'Table 1'!A81:C81</f>
        <v>i</v>
      </c>
      <c r="B57" s="229">
        <f>+'Table 1'!B81:D81</f>
        <v>400</v>
      </c>
      <c r="C57" s="229" t="str">
        <f>+'Table 1'!C81:E81</f>
        <v>mm</v>
      </c>
      <c r="D57" s="229" t="str">
        <f>+'Table 1'!D81:F81</f>
        <v>No.</v>
      </c>
      <c r="E57" s="229">
        <f>+'Table 1'!E81:G81</f>
        <v>97113.7</v>
      </c>
      <c r="F57" s="229">
        <f>+'Table 1'!F81:H81</f>
        <v>1</v>
      </c>
      <c r="G57" s="229">
        <f>+'Table 1'!G81:I81</f>
        <v>1</v>
      </c>
      <c r="H57" s="229">
        <f>+'Table 1'!H81:J81</f>
        <v>0</v>
      </c>
      <c r="I57" s="229">
        <f>+'Table 1'!I81:K81</f>
        <v>0</v>
      </c>
      <c r="J57" s="229">
        <f>+'Table 1'!J81:L81</f>
        <v>3</v>
      </c>
      <c r="K57" s="229">
        <f>+'Table 1'!K81:M81</f>
        <v>3</v>
      </c>
      <c r="L57" s="229">
        <f>+'Table 1'!L81:N81</f>
        <v>0</v>
      </c>
      <c r="M57" s="229">
        <f>+'Table 1'!M81:O81</f>
        <v>0</v>
      </c>
      <c r="N57" s="229">
        <f>+'Table 1'!N81:P81</f>
        <v>1</v>
      </c>
      <c r="O57" s="229">
        <f>+'Table 1'!O81:Q81</f>
        <v>1</v>
      </c>
      <c r="P57" s="229">
        <f>+'Table 1'!P81:R81</f>
        <v>0</v>
      </c>
      <c r="Q57" s="229">
        <f>+'Table 1'!Q81:S81</f>
        <v>0</v>
      </c>
      <c r="R57" s="229">
        <f>+'Table 1'!R81:T81</f>
        <v>2</v>
      </c>
      <c r="S57" s="229">
        <f>+'Table 1'!S81:U81</f>
        <v>2</v>
      </c>
      <c r="T57" s="229">
        <f>+'Table 1'!T81:V81</f>
        <v>0</v>
      </c>
      <c r="U57" s="229">
        <f>+'Table 1'!U81:W81</f>
        <v>0</v>
      </c>
      <c r="V57" s="229">
        <f>+'Table 1'!V81:X81</f>
        <v>7</v>
      </c>
      <c r="W57" s="229">
        <f>+'Table 1'!W81:Y81</f>
        <v>679795.9</v>
      </c>
      <c r="X57" s="229">
        <f>+'Table 1'!X81:Z81</f>
        <v>7</v>
      </c>
      <c r="Y57" s="229">
        <f>+'Table 1'!Y81:AA81</f>
        <v>679795.9</v>
      </c>
      <c r="Z57" s="229">
        <f>+'Table 1'!Z81:AB81</f>
        <v>0</v>
      </c>
      <c r="AB57" s="239">
        <f t="shared" si="8"/>
        <v>97113.7</v>
      </c>
      <c r="AC57" s="239">
        <f t="shared" si="0"/>
        <v>0</v>
      </c>
      <c r="AD57" s="239">
        <f t="shared" si="1"/>
        <v>291341.09999999998</v>
      </c>
      <c r="AE57" s="239">
        <f t="shared" si="2"/>
        <v>0</v>
      </c>
      <c r="AF57" s="239">
        <f t="shared" si="3"/>
        <v>97113.7</v>
      </c>
      <c r="AG57" s="239">
        <f t="shared" si="4"/>
        <v>0</v>
      </c>
      <c r="AH57" s="239">
        <f t="shared" si="5"/>
        <v>194227.4</v>
      </c>
      <c r="AI57" s="239"/>
      <c r="AJ57" s="239">
        <f t="shared" si="6"/>
        <v>679795.9</v>
      </c>
      <c r="AK57" s="238">
        <f>+'Table 1'!Y81</f>
        <v>679795.9</v>
      </c>
      <c r="AL57" s="20">
        <f t="shared" si="7"/>
        <v>0</v>
      </c>
    </row>
    <row r="58" spans="1:38" ht="15.6" x14ac:dyDescent="0.25">
      <c r="A58" s="228" t="str">
        <f>+'Table 1'!A82:C82</f>
        <v>j</v>
      </c>
      <c r="B58" s="229">
        <f>+'Table 1'!B82:D82</f>
        <v>450</v>
      </c>
      <c r="C58" s="229" t="str">
        <f>+'Table 1'!C82:E82</f>
        <v>mm</v>
      </c>
      <c r="D58" s="229" t="str">
        <f>+'Table 1'!D82:F82</f>
        <v>No.</v>
      </c>
      <c r="E58" s="229">
        <f>+'Table 1'!E82:G82</f>
        <v>126066.2</v>
      </c>
      <c r="F58" s="229">
        <f>+'Table 1'!F82:H82</f>
        <v>1</v>
      </c>
      <c r="G58" s="229">
        <f>+'Table 1'!G82:I82</f>
        <v>1</v>
      </c>
      <c r="H58" s="229">
        <f>+'Table 1'!H82:J82</f>
        <v>0</v>
      </c>
      <c r="I58" s="229">
        <f>+'Table 1'!I82:K82</f>
        <v>0</v>
      </c>
      <c r="J58" s="229">
        <f>+'Table 1'!J82:L82</f>
        <v>5</v>
      </c>
      <c r="K58" s="229">
        <f>+'Table 1'!K82:M82</f>
        <v>5</v>
      </c>
      <c r="L58" s="229">
        <f>+'Table 1'!L82:N82</f>
        <v>0</v>
      </c>
      <c r="M58" s="229">
        <f>+'Table 1'!M82:O82</f>
        <v>0</v>
      </c>
      <c r="N58" s="229">
        <f>+'Table 1'!N82:P82</f>
        <v>3</v>
      </c>
      <c r="O58" s="229">
        <f>+'Table 1'!O82:Q82</f>
        <v>3</v>
      </c>
      <c r="P58" s="229">
        <f>+'Table 1'!P82:R82</f>
        <v>0</v>
      </c>
      <c r="Q58" s="229">
        <f>+'Table 1'!Q82:S82</f>
        <v>0</v>
      </c>
      <c r="R58" s="229">
        <f>+'Table 1'!R82:T82</f>
        <v>1</v>
      </c>
      <c r="S58" s="229">
        <f>+'Table 1'!S82:U82</f>
        <v>1</v>
      </c>
      <c r="T58" s="229">
        <f>+'Table 1'!T82:V82</f>
        <v>0</v>
      </c>
      <c r="U58" s="229">
        <f>+'Table 1'!U82:W82</f>
        <v>0</v>
      </c>
      <c r="V58" s="229">
        <f>+'Table 1'!V82:X82</f>
        <v>10</v>
      </c>
      <c r="W58" s="229">
        <f>+'Table 1'!W82:Y82</f>
        <v>1260662</v>
      </c>
      <c r="X58" s="229">
        <f>+'Table 1'!X82:Z82</f>
        <v>10</v>
      </c>
      <c r="Y58" s="229">
        <f>+'Table 1'!Y82:AA82</f>
        <v>1260662</v>
      </c>
      <c r="Z58" s="229">
        <f>+'Table 1'!Z82:AB82</f>
        <v>0</v>
      </c>
      <c r="AB58" s="239">
        <f t="shared" si="8"/>
        <v>126066.2</v>
      </c>
      <c r="AC58" s="239">
        <f t="shared" si="0"/>
        <v>0</v>
      </c>
      <c r="AD58" s="239">
        <f t="shared" si="1"/>
        <v>630331</v>
      </c>
      <c r="AE58" s="239">
        <f t="shared" si="2"/>
        <v>0</v>
      </c>
      <c r="AF58" s="239">
        <f t="shared" si="3"/>
        <v>378198.6</v>
      </c>
      <c r="AG58" s="239">
        <f t="shared" si="4"/>
        <v>0</v>
      </c>
      <c r="AH58" s="239">
        <f t="shared" si="5"/>
        <v>126066.2</v>
      </c>
      <c r="AI58" s="239"/>
      <c r="AJ58" s="239">
        <f t="shared" si="6"/>
        <v>1260661.9999999998</v>
      </c>
      <c r="AK58" s="238">
        <f>+'Table 1'!Y82</f>
        <v>1260662</v>
      </c>
      <c r="AL58" s="20">
        <f t="shared" si="7"/>
        <v>0</v>
      </c>
    </row>
    <row r="59" spans="1:38" ht="15.6" x14ac:dyDescent="0.25">
      <c r="A59" s="228" t="str">
        <f>+'Table 1'!A83:C83</f>
        <v>k</v>
      </c>
      <c r="B59" s="229">
        <f>+'Table 1'!B83:D83</f>
        <v>500</v>
      </c>
      <c r="C59" s="229" t="str">
        <f>+'Table 1'!C83:E83</f>
        <v>mm</v>
      </c>
      <c r="D59" s="229" t="str">
        <f>+'Table 1'!D83:F83</f>
        <v>No.</v>
      </c>
      <c r="E59" s="229">
        <f>+'Table 1'!E83:G83</f>
        <v>144514.9</v>
      </c>
      <c r="F59" s="229">
        <f>+'Table 1'!F83:H83</f>
        <v>0</v>
      </c>
      <c r="G59" s="229">
        <f>+'Table 1'!G83:I83</f>
        <v>0</v>
      </c>
      <c r="H59" s="229">
        <f>+'Table 1'!H83:J83</f>
        <v>0</v>
      </c>
      <c r="I59" s="229">
        <f>+'Table 1'!I83:K83</f>
        <v>0</v>
      </c>
      <c r="J59" s="229">
        <f>+'Table 1'!J83:L83</f>
        <v>5</v>
      </c>
      <c r="K59" s="229">
        <f>+'Table 1'!K83:M83</f>
        <v>5</v>
      </c>
      <c r="L59" s="229">
        <f>+'Table 1'!L83:N83</f>
        <v>0</v>
      </c>
      <c r="M59" s="229">
        <f>+'Table 1'!M83:O83</f>
        <v>0</v>
      </c>
      <c r="N59" s="229">
        <f>+'Table 1'!N83:P83</f>
        <v>0</v>
      </c>
      <c r="O59" s="229">
        <f>+'Table 1'!O83:Q83</f>
        <v>0</v>
      </c>
      <c r="P59" s="229">
        <f>+'Table 1'!P83:R83</f>
        <v>1</v>
      </c>
      <c r="Q59" s="229">
        <f>+'Table 1'!Q83:S83</f>
        <v>1</v>
      </c>
      <c r="R59" s="229">
        <f>+'Table 1'!R83:T83</f>
        <v>2</v>
      </c>
      <c r="S59" s="229">
        <f>+'Table 1'!S83:U83</f>
        <v>2</v>
      </c>
      <c r="T59" s="229">
        <f>+'Table 1'!T83:V83</f>
        <v>0</v>
      </c>
      <c r="U59" s="229">
        <f>+'Table 1'!U83:W83</f>
        <v>0</v>
      </c>
      <c r="V59" s="229">
        <f>+'Table 1'!V83:X83</f>
        <v>8</v>
      </c>
      <c r="W59" s="229">
        <f>+'Table 1'!W83:Y83</f>
        <v>1156119.2</v>
      </c>
      <c r="X59" s="229">
        <f>+'Table 1'!X83:Z83</f>
        <v>8</v>
      </c>
      <c r="Y59" s="229">
        <f>+'Table 1'!Y83:AA83</f>
        <v>1156119.2</v>
      </c>
      <c r="Z59" s="229">
        <f>+'Table 1'!Z83:AB83</f>
        <v>0</v>
      </c>
      <c r="AB59" s="239">
        <f t="shared" si="8"/>
        <v>0</v>
      </c>
      <c r="AC59" s="239">
        <f t="shared" si="0"/>
        <v>0</v>
      </c>
      <c r="AD59" s="239">
        <f t="shared" si="1"/>
        <v>722574.5</v>
      </c>
      <c r="AE59" s="239">
        <f t="shared" si="2"/>
        <v>0</v>
      </c>
      <c r="AF59" s="239">
        <f t="shared" si="3"/>
        <v>0</v>
      </c>
      <c r="AG59" s="239">
        <f t="shared" si="4"/>
        <v>144514.9</v>
      </c>
      <c r="AH59" s="239">
        <f t="shared" si="5"/>
        <v>289029.8</v>
      </c>
      <c r="AI59" s="239"/>
      <c r="AJ59" s="239">
        <f t="shared" si="6"/>
        <v>1156119.2</v>
      </c>
      <c r="AK59" s="238">
        <f>+'Table 1'!Y83</f>
        <v>1156119.2</v>
      </c>
      <c r="AL59" s="20">
        <f t="shared" si="7"/>
        <v>0</v>
      </c>
    </row>
    <row r="60" spans="1:38" ht="15.6" x14ac:dyDescent="0.25">
      <c r="A60" s="228" t="str">
        <f>+'Table 1'!A84:C84</f>
        <v>l</v>
      </c>
      <c r="B60" s="229">
        <f>+'Table 1'!B84:D84</f>
        <v>600</v>
      </c>
      <c r="C60" s="229" t="str">
        <f>+'Table 1'!C84:E84</f>
        <v>mm</v>
      </c>
      <c r="D60" s="229" t="str">
        <f>+'Table 1'!D84:F84</f>
        <v>No.</v>
      </c>
      <c r="E60" s="229">
        <f>+'Table 1'!E84:G84</f>
        <v>243850.4</v>
      </c>
      <c r="F60" s="229">
        <f>+'Table 1'!F84:H84</f>
        <v>0</v>
      </c>
      <c r="G60" s="229">
        <f>+'Table 1'!G84:I84</f>
        <v>0</v>
      </c>
      <c r="H60" s="229">
        <f>+'Table 1'!H84:J84</f>
        <v>0</v>
      </c>
      <c r="I60" s="229">
        <f>+'Table 1'!I84:K84</f>
        <v>0</v>
      </c>
      <c r="J60" s="229">
        <f>+'Table 1'!J84:L84</f>
        <v>2</v>
      </c>
      <c r="K60" s="229">
        <f>+'Table 1'!K84:M84</f>
        <v>2</v>
      </c>
      <c r="L60" s="229">
        <f>+'Table 1'!L84:N84</f>
        <v>0</v>
      </c>
      <c r="M60" s="229">
        <f>+'Table 1'!M84:O84</f>
        <v>0</v>
      </c>
      <c r="N60" s="229">
        <f>+'Table 1'!N84:P84</f>
        <v>0</v>
      </c>
      <c r="O60" s="229">
        <f>+'Table 1'!O84:Q84</f>
        <v>0</v>
      </c>
      <c r="P60" s="229">
        <f>+'Table 1'!P84:R84</f>
        <v>3</v>
      </c>
      <c r="Q60" s="229">
        <f>+'Table 1'!Q84:S84</f>
        <v>3</v>
      </c>
      <c r="R60" s="229">
        <f>+'Table 1'!R84:T84</f>
        <v>0</v>
      </c>
      <c r="S60" s="229">
        <f>+'Table 1'!S84:U84</f>
        <v>0</v>
      </c>
      <c r="T60" s="229">
        <f>+'Table 1'!T84:V84</f>
        <v>0</v>
      </c>
      <c r="U60" s="229">
        <f>+'Table 1'!U84:W84</f>
        <v>0</v>
      </c>
      <c r="V60" s="229">
        <f>+'Table 1'!V84:X84</f>
        <v>5</v>
      </c>
      <c r="W60" s="229">
        <f>+'Table 1'!W84:Y84</f>
        <v>1219252</v>
      </c>
      <c r="X60" s="229">
        <f>+'Table 1'!X84:Z84</f>
        <v>5</v>
      </c>
      <c r="Y60" s="229">
        <f>+'Table 1'!Y84:AA84</f>
        <v>1219252</v>
      </c>
      <c r="Z60" s="229">
        <f>+'Table 1'!Z84:AB84</f>
        <v>0</v>
      </c>
      <c r="AB60" s="239">
        <f t="shared" si="8"/>
        <v>0</v>
      </c>
      <c r="AC60" s="239">
        <f t="shared" si="0"/>
        <v>0</v>
      </c>
      <c r="AD60" s="239">
        <f t="shared" si="1"/>
        <v>487700.8</v>
      </c>
      <c r="AE60" s="239">
        <f t="shared" si="2"/>
        <v>0</v>
      </c>
      <c r="AF60" s="239">
        <f t="shared" si="3"/>
        <v>0</v>
      </c>
      <c r="AG60" s="239">
        <f t="shared" si="4"/>
        <v>731551.2</v>
      </c>
      <c r="AH60" s="239">
        <f t="shared" si="5"/>
        <v>0</v>
      </c>
      <c r="AI60" s="239"/>
      <c r="AJ60" s="239">
        <f t="shared" si="6"/>
        <v>1219252</v>
      </c>
      <c r="AK60" s="238">
        <f>+'Table 1'!Y84</f>
        <v>1219252</v>
      </c>
      <c r="AL60" s="20">
        <f t="shared" si="7"/>
        <v>0</v>
      </c>
    </row>
    <row r="61" spans="1:38" ht="15.6" x14ac:dyDescent="0.25">
      <c r="A61" s="228" t="str">
        <f>+'Table 1'!A85:C85</f>
        <v>m</v>
      </c>
      <c r="B61" s="229">
        <f>+'Table 1'!B85:D85</f>
        <v>700</v>
      </c>
      <c r="C61" s="229" t="str">
        <f>+'Table 1'!C85:E85</f>
        <v>mm</v>
      </c>
      <c r="D61" s="229" t="str">
        <f>+'Table 1'!D85:F85</f>
        <v>No.</v>
      </c>
      <c r="E61" s="229">
        <f>+'Table 1'!E85:G85</f>
        <v>388320.75</v>
      </c>
      <c r="F61" s="229">
        <f>+'Table 1'!F85:H85</f>
        <v>0</v>
      </c>
      <c r="G61" s="229">
        <f>+'Table 1'!G85:I85</f>
        <v>0</v>
      </c>
      <c r="H61" s="229">
        <f>+'Table 1'!H85:J85</f>
        <v>0</v>
      </c>
      <c r="I61" s="229">
        <f>+'Table 1'!I85:K85</f>
        <v>0</v>
      </c>
      <c r="J61" s="229">
        <f>+'Table 1'!J85:L85</f>
        <v>4</v>
      </c>
      <c r="K61" s="229">
        <f>+'Table 1'!K85:M85</f>
        <v>4</v>
      </c>
      <c r="L61" s="229">
        <f>+'Table 1'!L85:N85</f>
        <v>0</v>
      </c>
      <c r="M61" s="229">
        <f>+'Table 1'!M85:O85</f>
        <v>0</v>
      </c>
      <c r="N61" s="229">
        <f>+'Table 1'!N85:P85</f>
        <v>0</v>
      </c>
      <c r="O61" s="229">
        <f>+'Table 1'!O85:Q85</f>
        <v>0</v>
      </c>
      <c r="P61" s="229">
        <f>+'Table 1'!P85:R85</f>
        <v>0</v>
      </c>
      <c r="Q61" s="229">
        <f>+'Table 1'!Q85:S85</f>
        <v>0</v>
      </c>
      <c r="R61" s="229">
        <f>+'Table 1'!R85:T85</f>
        <v>0</v>
      </c>
      <c r="S61" s="229">
        <f>+'Table 1'!S85:U85</f>
        <v>0</v>
      </c>
      <c r="T61" s="229">
        <f>+'Table 1'!T85:V85</f>
        <v>0</v>
      </c>
      <c r="U61" s="229">
        <f>+'Table 1'!U85:W85</f>
        <v>0</v>
      </c>
      <c r="V61" s="229">
        <f>+'Table 1'!V85:X85</f>
        <v>4</v>
      </c>
      <c r="W61" s="229">
        <f>+'Table 1'!W85:Y85</f>
        <v>1553283</v>
      </c>
      <c r="X61" s="229">
        <f>+'Table 1'!X85:Z85</f>
        <v>4</v>
      </c>
      <c r="Y61" s="229">
        <f>+'Table 1'!Y85:AA85</f>
        <v>1553283</v>
      </c>
      <c r="Z61" s="229">
        <f>+'Table 1'!Z85:AB85</f>
        <v>0</v>
      </c>
      <c r="AB61" s="239">
        <f t="shared" si="8"/>
        <v>0</v>
      </c>
      <c r="AC61" s="239">
        <f t="shared" si="0"/>
        <v>0</v>
      </c>
      <c r="AD61" s="239">
        <f t="shared" si="1"/>
        <v>1553283</v>
      </c>
      <c r="AE61" s="239">
        <f t="shared" si="2"/>
        <v>0</v>
      </c>
      <c r="AF61" s="239">
        <f t="shared" si="3"/>
        <v>0</v>
      </c>
      <c r="AG61" s="239">
        <f t="shared" si="4"/>
        <v>0</v>
      </c>
      <c r="AH61" s="239">
        <f t="shared" si="5"/>
        <v>0</v>
      </c>
      <c r="AI61" s="239"/>
      <c r="AJ61" s="239">
        <f t="shared" si="6"/>
        <v>1553283</v>
      </c>
      <c r="AK61" s="238">
        <f>+'Table 1'!Y85</f>
        <v>1553283</v>
      </c>
      <c r="AL61" s="20">
        <f t="shared" si="7"/>
        <v>0</v>
      </c>
    </row>
    <row r="62" spans="1:38" ht="15.6" x14ac:dyDescent="0.25">
      <c r="A62" s="228">
        <f>+'Table 1'!A86:C86</f>
        <v>0</v>
      </c>
      <c r="B62" s="229">
        <f>+'Table 1'!B86:D86</f>
        <v>0</v>
      </c>
      <c r="C62" s="229">
        <f>+'Table 1'!C86:E86</f>
        <v>0</v>
      </c>
      <c r="D62" s="229">
        <f>+'Table 1'!D86:F86</f>
        <v>0</v>
      </c>
      <c r="E62" s="229">
        <f>+'Table 1'!E86:G86</f>
        <v>0</v>
      </c>
      <c r="F62" s="229">
        <f>+'Table 1'!F86:H86</f>
        <v>0</v>
      </c>
      <c r="G62" s="229">
        <f>+'Table 1'!G86:I86</f>
        <v>0</v>
      </c>
      <c r="H62" s="229">
        <f>+'Table 1'!H86:J86</f>
        <v>0</v>
      </c>
      <c r="I62" s="229">
        <f>+'Table 1'!I86:K86</f>
        <v>0</v>
      </c>
      <c r="J62" s="229">
        <f>+'Table 1'!J86:L86</f>
        <v>0</v>
      </c>
      <c r="K62" s="229">
        <f>+'Table 1'!K86:M86</f>
        <v>0</v>
      </c>
      <c r="L62" s="229">
        <f>+'Table 1'!L86:N86</f>
        <v>0</v>
      </c>
      <c r="M62" s="229">
        <f>+'Table 1'!M86:O86</f>
        <v>0</v>
      </c>
      <c r="N62" s="229">
        <f>+'Table 1'!N86:P86</f>
        <v>0</v>
      </c>
      <c r="O62" s="229">
        <f>+'Table 1'!O86:Q86</f>
        <v>0</v>
      </c>
      <c r="P62" s="229">
        <f>+'Table 1'!P86:R86</f>
        <v>0</v>
      </c>
      <c r="Q62" s="229">
        <f>+'Table 1'!Q86:S86</f>
        <v>0</v>
      </c>
      <c r="R62" s="229">
        <f>+'Table 1'!R86:T86</f>
        <v>0</v>
      </c>
      <c r="S62" s="229">
        <f>+'Table 1'!S86:U86</f>
        <v>0</v>
      </c>
      <c r="T62" s="229">
        <f>+'Table 1'!T86:V86</f>
        <v>0</v>
      </c>
      <c r="U62" s="229">
        <f>+'Table 1'!U86:W86</f>
        <v>0</v>
      </c>
      <c r="V62" s="229">
        <f>+'Table 1'!V86:X86</f>
        <v>0</v>
      </c>
      <c r="W62" s="229">
        <f>+'Table 1'!W86:Y86</f>
        <v>0</v>
      </c>
      <c r="X62" s="229">
        <f>+'Table 1'!X86:Z86</f>
        <v>0</v>
      </c>
      <c r="Y62" s="229">
        <f>+'Table 1'!Y86:AA86</f>
        <v>0</v>
      </c>
      <c r="Z62" s="229">
        <f>+'Table 1'!Z86:AB86</f>
        <v>0</v>
      </c>
      <c r="AB62" s="239">
        <f t="shared" si="8"/>
        <v>0</v>
      </c>
      <c r="AC62" s="239">
        <f t="shared" si="0"/>
        <v>0</v>
      </c>
      <c r="AD62" s="239">
        <f t="shared" si="1"/>
        <v>0</v>
      </c>
      <c r="AE62" s="239">
        <f t="shared" si="2"/>
        <v>0</v>
      </c>
      <c r="AF62" s="239">
        <f t="shared" si="3"/>
        <v>0</v>
      </c>
      <c r="AG62" s="239">
        <f t="shared" si="4"/>
        <v>0</v>
      </c>
      <c r="AH62" s="239">
        <f t="shared" si="5"/>
        <v>0</v>
      </c>
      <c r="AI62" s="239"/>
      <c r="AJ62" s="239">
        <f t="shared" si="6"/>
        <v>0</v>
      </c>
      <c r="AK62" s="238">
        <f>+'Table 1'!Y86</f>
        <v>0</v>
      </c>
      <c r="AL62" s="20">
        <f t="shared" si="7"/>
        <v>0</v>
      </c>
    </row>
    <row r="63" spans="1:38" ht="27.6" x14ac:dyDescent="0.25">
      <c r="A63" s="228" t="str">
        <f>+'Table 1'!A87:C87</f>
        <v>Item o. 15:-  Providing and fixing M.S. chequerred
plate flooring of following thickness supported on</v>
      </c>
      <c r="B63" s="229">
        <f>+'Table 1'!B87:D87</f>
        <v>0</v>
      </c>
      <c r="C63" s="229">
        <f>+'Table 1'!C87:E87</f>
        <v>0</v>
      </c>
      <c r="D63" s="229" t="str">
        <f>+'Table 1'!D87:F87</f>
        <v>Sqm</v>
      </c>
      <c r="E63" s="229">
        <f>+'Table 1'!E87:G87</f>
        <v>5104.45</v>
      </c>
      <c r="F63" s="229">
        <f>+'Table 1'!F87:H87</f>
        <v>5.6</v>
      </c>
      <c r="G63" s="229">
        <f>+'Table 1'!G87:I87</f>
        <v>5.6</v>
      </c>
      <c r="H63" s="229">
        <f>+'Table 1'!H87:J87</f>
        <v>5.6</v>
      </c>
      <c r="I63" s="229">
        <f>+'Table 1'!I87:K87</f>
        <v>5.6</v>
      </c>
      <c r="J63" s="229">
        <f>+'Table 1'!J87:L87</f>
        <v>5.6</v>
      </c>
      <c r="K63" s="229">
        <f>+'Table 1'!K87:M87</f>
        <v>5.6</v>
      </c>
      <c r="L63" s="229">
        <f>+'Table 1'!L87:N87</f>
        <v>5.6</v>
      </c>
      <c r="M63" s="229">
        <f>+'Table 1'!M87:O87</f>
        <v>5.6</v>
      </c>
      <c r="N63" s="229">
        <f>+'Table 1'!N87:P87</f>
        <v>5.6</v>
      </c>
      <c r="O63" s="229">
        <f>+'Table 1'!O87:Q87</f>
        <v>5.6</v>
      </c>
      <c r="P63" s="229">
        <f>+'Table 1'!P87:R87</f>
        <v>5.6</v>
      </c>
      <c r="Q63" s="229">
        <f>+'Table 1'!Q87:S87</f>
        <v>5.6</v>
      </c>
      <c r="R63" s="229">
        <f>+'Table 1'!R87:T87</f>
        <v>5.6</v>
      </c>
      <c r="S63" s="229">
        <f>+'Table 1'!S87:U87</f>
        <v>5.6</v>
      </c>
      <c r="T63" s="229">
        <f>+'Table 1'!T87:V87</f>
        <v>0</v>
      </c>
      <c r="U63" s="229">
        <f>+'Table 1'!U87:W87</f>
        <v>0</v>
      </c>
      <c r="V63" s="229">
        <f>+'Table 1'!V87:X87</f>
        <v>39.200000000000003</v>
      </c>
      <c r="W63" s="229">
        <f>+'Table 1'!W87:Y87</f>
        <v>200094.44</v>
      </c>
      <c r="X63" s="229">
        <f>+'Table 1'!X87:Z87</f>
        <v>39.200000000000003</v>
      </c>
      <c r="Y63" s="229">
        <f>+'Table 1'!Y87:AA87</f>
        <v>200094.44</v>
      </c>
      <c r="Z63" s="229">
        <f>+'Table 1'!Z87:AB87</f>
        <v>0</v>
      </c>
      <c r="AB63" s="239">
        <f t="shared" si="8"/>
        <v>28584.92</v>
      </c>
      <c r="AC63" s="239">
        <f t="shared" si="0"/>
        <v>28584.92</v>
      </c>
      <c r="AD63" s="239">
        <f t="shared" si="1"/>
        <v>28584.92</v>
      </c>
      <c r="AE63" s="239">
        <f t="shared" si="2"/>
        <v>28584.92</v>
      </c>
      <c r="AF63" s="239">
        <f t="shared" si="3"/>
        <v>28584.92</v>
      </c>
      <c r="AG63" s="239">
        <f t="shared" si="4"/>
        <v>28584.92</v>
      </c>
      <c r="AH63" s="239">
        <f t="shared" si="5"/>
        <v>28584.92</v>
      </c>
      <c r="AI63" s="239"/>
      <c r="AJ63" s="239">
        <f t="shared" si="6"/>
        <v>200094.43999999994</v>
      </c>
      <c r="AK63" s="238">
        <f>+'Table 1'!Y87</f>
        <v>200094.44</v>
      </c>
      <c r="AL63" s="20">
        <f t="shared" si="7"/>
        <v>0</v>
      </c>
    </row>
    <row r="64" spans="1:38" ht="15.6" x14ac:dyDescent="0.25">
      <c r="A64" s="228" t="str">
        <f>+'Table 1'!A88:C88</f>
        <v>Name of Item</v>
      </c>
      <c r="B64" s="229">
        <f>+'Table 1'!B88:D88</f>
        <v>0</v>
      </c>
      <c r="C64" s="229">
        <f>+'Table 1'!C88:E88</f>
        <v>0</v>
      </c>
      <c r="D64" s="229" t="str">
        <f>+'Table 1'!D88:F88</f>
        <v>Unit</v>
      </c>
      <c r="E64" s="229">
        <f>+'Table 1'!E88:G88</f>
        <v>0</v>
      </c>
      <c r="F64" s="229" t="str">
        <f>+'Table 1'!F88:H88</f>
        <v>Injewada Mr @ RD 120 M</v>
      </c>
      <c r="G64" s="229">
        <f>+'Table 1'!G88:I88</f>
        <v>0</v>
      </c>
      <c r="H64" s="229" t="str">
        <f>+'Table 1'!H88:J88</f>
        <v>Sarpewda Mr @ RD
1110 M</v>
      </c>
      <c r="I64" s="229">
        <f>+'Table 1'!I88:K88</f>
        <v>0</v>
      </c>
      <c r="J64" s="229" t="str">
        <f>+'Table 1'!J88:L88</f>
        <v>Koka  Mr 1
@ RD 3240 M</v>
      </c>
      <c r="K64" s="229">
        <f>+'Table 1'!K88:M88</f>
        <v>0</v>
      </c>
      <c r="L64" s="229" t="str">
        <f>+'Table 1'!L88:N88</f>
        <v>Koka  Mr 2
@ RD 4645 M</v>
      </c>
      <c r="M64" s="229">
        <f>+'Table 1'!M88:O88</f>
        <v>0</v>
      </c>
      <c r="N64" s="229" t="str">
        <f>+'Table 1'!N88:P88</f>
        <v>Sonkund  Mr @ RD 6030
M</v>
      </c>
      <c r="O64" s="229">
        <f>+'Table 1'!O88:Q88</f>
        <v>0</v>
      </c>
      <c r="P64" s="229" t="str">
        <f>+'Table 1'!P88:R88</f>
        <v>Palora  Mr @ RD
6850 M</v>
      </c>
      <c r="Q64" s="229">
        <f>+'Table 1'!Q88:S88</f>
        <v>0</v>
      </c>
      <c r="R64" s="229" t="str">
        <f>+'Table 1'!R88:T88</f>
        <v>Kesalwada Mr @ RD
8770 M</v>
      </c>
      <c r="S64" s="229">
        <f>+'Table 1'!S88:U88</f>
        <v>0</v>
      </c>
      <c r="T64" s="229">
        <f>+'Table 1'!T88:V88</f>
        <v>0</v>
      </c>
      <c r="U64" s="229">
        <f>+'Table 1'!U88:W88</f>
        <v>0</v>
      </c>
      <c r="V64" s="229" t="e">
        <f>+'Table 1'!V88:X88</f>
        <v>#VALUE!</v>
      </c>
      <c r="W64" s="229">
        <f>+'Table 1'!W88:Y88</f>
        <v>0</v>
      </c>
      <c r="X64" s="229">
        <f>+'Table 1'!X88:Z88</f>
        <v>0</v>
      </c>
      <c r="Y64" s="229">
        <f>+'Table 1'!Y88:AA88</f>
        <v>0</v>
      </c>
      <c r="Z64" s="229">
        <f>+'Table 1'!Z88:AB88</f>
        <v>0</v>
      </c>
      <c r="AB64" s="239">
        <f t="shared" si="8"/>
        <v>0</v>
      </c>
      <c r="AC64" s="239">
        <f t="shared" si="0"/>
        <v>0</v>
      </c>
      <c r="AD64" s="239">
        <f t="shared" si="1"/>
        <v>0</v>
      </c>
      <c r="AE64" s="239">
        <f t="shared" si="2"/>
        <v>0</v>
      </c>
      <c r="AF64" s="239">
        <f t="shared" si="3"/>
        <v>0</v>
      </c>
      <c r="AG64" s="239">
        <f t="shared" si="4"/>
        <v>0</v>
      </c>
      <c r="AH64" s="239">
        <f t="shared" si="5"/>
        <v>0</v>
      </c>
      <c r="AI64" s="239"/>
      <c r="AJ64" s="239">
        <f t="shared" si="6"/>
        <v>0</v>
      </c>
      <c r="AK64" s="238">
        <f>+'Table 1'!Y88</f>
        <v>0</v>
      </c>
      <c r="AL64" s="20">
        <f t="shared" si="7"/>
        <v>0</v>
      </c>
    </row>
    <row r="65" spans="1:38" ht="15.6" x14ac:dyDescent="0.25">
      <c r="A65" s="228">
        <f>+'Table 1'!A89:C89</f>
        <v>0</v>
      </c>
      <c r="B65" s="229">
        <f>+'Table 1'!B89:D89</f>
        <v>0</v>
      </c>
      <c r="C65" s="229">
        <f>+'Table 1'!C89:E89</f>
        <v>0</v>
      </c>
      <c r="D65" s="229">
        <f>+'Table 1'!D89:F89</f>
        <v>0</v>
      </c>
      <c r="E65" s="229">
        <f>+'Table 1'!E89:G89</f>
        <v>0</v>
      </c>
      <c r="F65" s="229" t="str">
        <f>+'Table 1'!F89:H89</f>
        <v>Qty</v>
      </c>
      <c r="G65" s="229">
        <f>+'Table 1'!G89:I89</f>
        <v>0</v>
      </c>
      <c r="H65" s="229" t="str">
        <f>+'Table 1'!H89:J89</f>
        <v>Qty</v>
      </c>
      <c r="I65" s="229">
        <f>+'Table 1'!I89:K89</f>
        <v>0</v>
      </c>
      <c r="J65" s="229" t="str">
        <f>+'Table 1'!J89:L89</f>
        <v>Qty</v>
      </c>
      <c r="K65" s="229">
        <f>+'Table 1'!K89:M89</f>
        <v>0</v>
      </c>
      <c r="L65" s="229" t="str">
        <f>+'Table 1'!L89:N89</f>
        <v>Qty</v>
      </c>
      <c r="M65" s="229">
        <f>+'Table 1'!M89:O89</f>
        <v>0</v>
      </c>
      <c r="N65" s="229" t="str">
        <f>+'Table 1'!N89:P89</f>
        <v>Qty</v>
      </c>
      <c r="O65" s="229">
        <f>+'Table 1'!O89:Q89</f>
        <v>0</v>
      </c>
      <c r="P65" s="229" t="str">
        <f>+'Table 1'!P89:R89</f>
        <v>Qty</v>
      </c>
      <c r="Q65" s="229">
        <f>+'Table 1'!Q89:S89</f>
        <v>0</v>
      </c>
      <c r="R65" s="229" t="str">
        <f>+'Table 1'!R89:T89</f>
        <v>Qty</v>
      </c>
      <c r="S65" s="229">
        <f>+'Table 1'!S89:U89</f>
        <v>0</v>
      </c>
      <c r="T65" s="229">
        <f>+'Table 1'!T89:V89</f>
        <v>0</v>
      </c>
      <c r="U65" s="229">
        <f>+'Table 1'!U89:W89</f>
        <v>0</v>
      </c>
      <c r="V65" s="229" t="e">
        <f>+'Table 1'!V89:X89</f>
        <v>#VALUE!</v>
      </c>
      <c r="W65" s="229">
        <f>+'Table 1'!W89:Y89</f>
        <v>0</v>
      </c>
      <c r="X65" s="229">
        <f>+'Table 1'!X89:Z89</f>
        <v>0</v>
      </c>
      <c r="Y65" s="229">
        <f>+'Table 1'!Y89:AA89</f>
        <v>0</v>
      </c>
      <c r="Z65" s="229">
        <f>+'Table 1'!Z89:AB89</f>
        <v>0</v>
      </c>
      <c r="AB65" s="239">
        <f t="shared" si="8"/>
        <v>0</v>
      </c>
      <c r="AC65" s="239">
        <f t="shared" si="0"/>
        <v>0</v>
      </c>
      <c r="AD65" s="239">
        <f t="shared" si="1"/>
        <v>0</v>
      </c>
      <c r="AE65" s="239">
        <f t="shared" si="2"/>
        <v>0</v>
      </c>
      <c r="AF65" s="239">
        <f t="shared" si="3"/>
        <v>0</v>
      </c>
      <c r="AG65" s="239">
        <f t="shared" si="4"/>
        <v>0</v>
      </c>
      <c r="AH65" s="239">
        <f t="shared" si="5"/>
        <v>0</v>
      </c>
      <c r="AI65" s="239"/>
      <c r="AJ65" s="239">
        <f t="shared" si="6"/>
        <v>0</v>
      </c>
      <c r="AK65" s="238">
        <f>+'Table 1'!Y89</f>
        <v>0</v>
      </c>
      <c r="AL65" s="20">
        <f t="shared" si="7"/>
        <v>0</v>
      </c>
    </row>
    <row r="66" spans="1:38" ht="27.6" x14ac:dyDescent="0.25">
      <c r="A66" s="228" t="str">
        <f>+'Table 1'!A90:C90</f>
        <v>Item No. 16:- Preparation of upto date digital
command maps showing Juridiction of W.U.A. with</v>
      </c>
      <c r="B66" s="229">
        <f>+'Table 1'!B90:D90</f>
        <v>0</v>
      </c>
      <c r="C66" s="229">
        <f>+'Table 1'!C90:E90</f>
        <v>0</v>
      </c>
      <c r="D66" s="229" t="str">
        <f>+'Table 1'!D90:F90</f>
        <v>Ha</v>
      </c>
      <c r="E66" s="229">
        <f>+'Table 1'!E90:G90</f>
        <v>110.9</v>
      </c>
      <c r="F66" s="229">
        <f>+'Table 1'!F90:H90</f>
        <v>124.95</v>
      </c>
      <c r="G66" s="229">
        <f>+'Table 1'!G90:I90</f>
        <v>149.06</v>
      </c>
      <c r="H66" s="229">
        <f>+'Table 1'!H90:J90</f>
        <v>47.61</v>
      </c>
      <c r="I66" s="229">
        <f>+'Table 1'!I90:K90</f>
        <v>58.72</v>
      </c>
      <c r="J66" s="229">
        <f>+'Table 1'!J90:L90</f>
        <v>454.04</v>
      </c>
      <c r="K66" s="229">
        <f>+'Table 1'!K90:M90</f>
        <v>529.95000000000005</v>
      </c>
      <c r="L66" s="229">
        <f>+'Table 1'!L90:N90</f>
        <v>52.19</v>
      </c>
      <c r="M66" s="229">
        <f>+'Table 1'!M90:O90</f>
        <v>77.92</v>
      </c>
      <c r="N66" s="229">
        <f>+'Table 1'!N90:P90</f>
        <v>164.88</v>
      </c>
      <c r="O66" s="229">
        <f>+'Table 1'!O90:Q90</f>
        <v>222.49</v>
      </c>
      <c r="P66" s="229">
        <f>+'Table 1'!P90:R90</f>
        <v>493.5</v>
      </c>
      <c r="Q66" s="229">
        <f>+'Table 1'!Q90:S90</f>
        <v>636.46</v>
      </c>
      <c r="R66" s="229">
        <f>+'Table 1'!R90:T90</f>
        <v>133.58000000000001</v>
      </c>
      <c r="S66" s="229">
        <f>+'Table 1'!S90:U90</f>
        <v>161.19</v>
      </c>
      <c r="T66" s="229">
        <f>+'Table 1'!T90:V90</f>
        <v>0</v>
      </c>
      <c r="U66" s="229">
        <f>+'Table 1'!U90:W90</f>
        <v>0</v>
      </c>
      <c r="V66" s="229">
        <f>+'Table 1'!V90:X90</f>
        <v>1470.75</v>
      </c>
      <c r="W66" s="229">
        <f>+'Table 1'!W90:Y90</f>
        <v>163106.17500000002</v>
      </c>
      <c r="X66" s="229">
        <f>+'Table 1'!X90:Z90</f>
        <v>1835.7900000000002</v>
      </c>
      <c r="Y66" s="229">
        <f>+'Table 1'!Y90:AA90</f>
        <v>203589.11100000003</v>
      </c>
      <c r="Z66" s="229">
        <f>+'Table 1'!Z90:AB90</f>
        <v>40482.936000000016</v>
      </c>
      <c r="AB66" s="239">
        <f t="shared" si="8"/>
        <v>16530.754000000001</v>
      </c>
      <c r="AC66" s="239">
        <f t="shared" si="0"/>
        <v>6512.0479999999998</v>
      </c>
      <c r="AD66" s="239">
        <f t="shared" si="1"/>
        <v>58771.455000000009</v>
      </c>
      <c r="AE66" s="239">
        <f t="shared" si="2"/>
        <v>8641.3280000000013</v>
      </c>
      <c r="AF66" s="239">
        <f t="shared" si="3"/>
        <v>24674.141000000003</v>
      </c>
      <c r="AG66" s="239">
        <f t="shared" si="4"/>
        <v>70583.414000000004</v>
      </c>
      <c r="AH66" s="239">
        <f t="shared" si="5"/>
        <v>17875.971000000001</v>
      </c>
      <c r="AI66" s="239"/>
      <c r="AJ66" s="239">
        <f t="shared" si="6"/>
        <v>203589.111</v>
      </c>
      <c r="AK66" s="238">
        <f>+'Table 1'!Y90</f>
        <v>203589.11100000003</v>
      </c>
      <c r="AL66" s="20">
        <f t="shared" si="7"/>
        <v>0</v>
      </c>
    </row>
    <row r="67" spans="1:38" ht="27.6" x14ac:dyDescent="0.25">
      <c r="A67" s="228" t="str">
        <f>+'Table 1'!A91:C91</f>
        <v>Item No. 17:- Preparation and Publication of
Benificiers list of WUA etc. Complete</v>
      </c>
      <c r="B67" s="229">
        <f>+'Table 1'!B91:D91</f>
        <v>0</v>
      </c>
      <c r="C67" s="229">
        <f>+'Table 1'!C91:E91</f>
        <v>0</v>
      </c>
      <c r="D67" s="229" t="str">
        <f>+'Table 1'!D91:F91</f>
        <v>Ha</v>
      </c>
      <c r="E67" s="229">
        <f>+'Table 1'!E91:G91</f>
        <v>109.55</v>
      </c>
      <c r="F67" s="229">
        <f>+'Table 1'!F91:H91</f>
        <v>124.95</v>
      </c>
      <c r="G67" s="229">
        <f>+'Table 1'!G91:I91</f>
        <v>149.06</v>
      </c>
      <c r="H67" s="229">
        <f>+'Table 1'!H91:J91</f>
        <v>47.61</v>
      </c>
      <c r="I67" s="229">
        <f>+'Table 1'!I91:K91</f>
        <v>58.72</v>
      </c>
      <c r="J67" s="229">
        <f>+'Table 1'!J91:L91</f>
        <v>454.04</v>
      </c>
      <c r="K67" s="229">
        <f>+'Table 1'!K91:M91</f>
        <v>529.95000000000005</v>
      </c>
      <c r="L67" s="229">
        <f>+'Table 1'!L91:N91</f>
        <v>52.19</v>
      </c>
      <c r="M67" s="229">
        <f>+'Table 1'!M91:O91</f>
        <v>77.92</v>
      </c>
      <c r="N67" s="229">
        <f>+'Table 1'!N91:P91</f>
        <v>164.88</v>
      </c>
      <c r="O67" s="229">
        <f>+'Table 1'!O91:Q91</f>
        <v>222.49</v>
      </c>
      <c r="P67" s="229">
        <f>+'Table 1'!P91:R91</f>
        <v>493.5</v>
      </c>
      <c r="Q67" s="229">
        <f>+'Table 1'!Q91:S91</f>
        <v>636.46</v>
      </c>
      <c r="R67" s="229">
        <f>+'Table 1'!R91:T91</f>
        <v>133.58000000000001</v>
      </c>
      <c r="S67" s="229">
        <f>+'Table 1'!S91:U91</f>
        <v>161.19</v>
      </c>
      <c r="T67" s="229">
        <f>+'Table 1'!T91:V91</f>
        <v>0</v>
      </c>
      <c r="U67" s="229">
        <f>+'Table 1'!U91:W91</f>
        <v>0</v>
      </c>
      <c r="V67" s="229">
        <f>+'Table 1'!V91:X91</f>
        <v>1470.75</v>
      </c>
      <c r="W67" s="229">
        <f>+'Table 1'!W91:Y91</f>
        <v>161120.66250000001</v>
      </c>
      <c r="X67" s="229">
        <f>+'Table 1'!X91:Z91</f>
        <v>1835.7900000000002</v>
      </c>
      <c r="Y67" s="229">
        <f>+'Table 1'!Y91:AA91</f>
        <v>201110.79450000002</v>
      </c>
      <c r="Z67" s="229">
        <f>+'Table 1'!Z91:AB91</f>
        <v>39990.132000000012</v>
      </c>
      <c r="AB67" s="239">
        <f t="shared" si="8"/>
        <v>16329.522999999999</v>
      </c>
      <c r="AC67" s="239">
        <f t="shared" si="0"/>
        <v>6432.7759999999998</v>
      </c>
      <c r="AD67" s="239">
        <f t="shared" si="1"/>
        <v>58056.022500000006</v>
      </c>
      <c r="AE67" s="239">
        <f t="shared" si="2"/>
        <v>8536.1360000000004</v>
      </c>
      <c r="AF67" s="239">
        <f t="shared" si="3"/>
        <v>24373.779500000001</v>
      </c>
      <c r="AG67" s="239">
        <f t="shared" si="4"/>
        <v>69724.192999999999</v>
      </c>
      <c r="AH67" s="239">
        <f t="shared" si="5"/>
        <v>17658.3645</v>
      </c>
      <c r="AI67" s="239"/>
      <c r="AJ67" s="239">
        <f t="shared" si="6"/>
        <v>201110.79449999999</v>
      </c>
      <c r="AK67" s="238">
        <f>+'Table 1'!Y91</f>
        <v>201110.79450000002</v>
      </c>
      <c r="AL67" s="20">
        <f t="shared" si="7"/>
        <v>0</v>
      </c>
    </row>
    <row r="68" spans="1:38" ht="27.6" x14ac:dyDescent="0.25">
      <c r="A68" s="228" t="str">
        <f>+'Table 1'!A92:C92</f>
        <v>Item No. 18:- Providing and making arrangemens
for Holding of  WUA Election as per instructions of</v>
      </c>
      <c r="B68" s="229">
        <f>+'Table 1'!B92:D92</f>
        <v>0</v>
      </c>
      <c r="C68" s="229">
        <f>+'Table 1'!C92:E92</f>
        <v>0</v>
      </c>
      <c r="D68" s="229" t="str">
        <f>+'Table 1'!D92:F92</f>
        <v>Ha</v>
      </c>
      <c r="E68" s="229">
        <f>+'Table 1'!E92:G92</f>
        <v>39.15</v>
      </c>
      <c r="F68" s="229">
        <f>+'Table 1'!F92:H92</f>
        <v>124.95</v>
      </c>
      <c r="G68" s="229">
        <f>+'Table 1'!G92:I92</f>
        <v>149.06</v>
      </c>
      <c r="H68" s="229">
        <f>+'Table 1'!H92:J92</f>
        <v>47.61</v>
      </c>
      <c r="I68" s="229">
        <f>+'Table 1'!I92:K92</f>
        <v>58.72</v>
      </c>
      <c r="J68" s="229">
        <f>+'Table 1'!J92:L92</f>
        <v>454.04</v>
      </c>
      <c r="K68" s="229">
        <f>+'Table 1'!K92:M92</f>
        <v>529.95000000000005</v>
      </c>
      <c r="L68" s="229">
        <f>+'Table 1'!L92:N92</f>
        <v>52.19</v>
      </c>
      <c r="M68" s="229">
        <f>+'Table 1'!M92:O92</f>
        <v>77.92</v>
      </c>
      <c r="N68" s="229">
        <f>+'Table 1'!N92:P92</f>
        <v>164.88</v>
      </c>
      <c r="O68" s="229">
        <f>+'Table 1'!O92:Q92</f>
        <v>222.49</v>
      </c>
      <c r="P68" s="229">
        <f>+'Table 1'!P92:R92</f>
        <v>493.5</v>
      </c>
      <c r="Q68" s="229">
        <f>+'Table 1'!Q92:S92</f>
        <v>636.46</v>
      </c>
      <c r="R68" s="229">
        <f>+'Table 1'!R92:T92</f>
        <v>133.58000000000001</v>
      </c>
      <c r="S68" s="229">
        <f>+'Table 1'!S92:U92</f>
        <v>161.19</v>
      </c>
      <c r="T68" s="229">
        <f>+'Table 1'!T92:V92</f>
        <v>0</v>
      </c>
      <c r="U68" s="229">
        <f>+'Table 1'!U92:W92</f>
        <v>0</v>
      </c>
      <c r="V68" s="229">
        <f>+'Table 1'!V92:X92</f>
        <v>1470.75</v>
      </c>
      <c r="W68" s="229">
        <f>+'Table 1'!W92:Y92</f>
        <v>57579.862499999996</v>
      </c>
      <c r="X68" s="229">
        <f>+'Table 1'!X92:Z92</f>
        <v>1835.7900000000002</v>
      </c>
      <c r="Y68" s="229">
        <f>+'Table 1'!Y92:AA92</f>
        <v>71871.178500000009</v>
      </c>
      <c r="Z68" s="229">
        <f>+'Table 1'!Z92:AB92</f>
        <v>14291.316000000013</v>
      </c>
      <c r="AB68" s="239">
        <f t="shared" si="8"/>
        <v>5835.6989999999996</v>
      </c>
      <c r="AC68" s="239">
        <f t="shared" si="0"/>
        <v>2298.8879999999999</v>
      </c>
      <c r="AD68" s="239">
        <f t="shared" si="1"/>
        <v>20747.5425</v>
      </c>
      <c r="AE68" s="239">
        <f t="shared" si="2"/>
        <v>3050.5679999999998</v>
      </c>
      <c r="AF68" s="239">
        <f t="shared" si="3"/>
        <v>8710.4835000000003</v>
      </c>
      <c r="AG68" s="239">
        <f t="shared" si="4"/>
        <v>24917.409</v>
      </c>
      <c r="AH68" s="239">
        <f t="shared" si="5"/>
        <v>6310.5884999999998</v>
      </c>
      <c r="AI68" s="239"/>
      <c r="AJ68" s="239">
        <f t="shared" si="6"/>
        <v>71871.178499999995</v>
      </c>
      <c r="AK68" s="238">
        <f>+'Table 1'!Y92</f>
        <v>71871.178500000009</v>
      </c>
      <c r="AL68" s="20">
        <f t="shared" si="7"/>
        <v>0</v>
      </c>
    </row>
    <row r="69" spans="1:38" ht="27.6" x14ac:dyDescent="0.25">
      <c r="A69" s="228" t="str">
        <f>+'Table 1'!A93:C93</f>
        <v>Item No. 19:- Capacity Building of WUA -Arranging
and conducting Meetings and Trainings to</v>
      </c>
      <c r="B69" s="229">
        <f>+'Table 1'!B93:D93</f>
        <v>0</v>
      </c>
      <c r="C69" s="229">
        <f>+'Table 1'!C93:E93</f>
        <v>0</v>
      </c>
      <c r="D69" s="229">
        <f>+'Table 1'!D93:F93</f>
        <v>0</v>
      </c>
      <c r="E69" s="229">
        <f>+'Table 1'!E93:G93</f>
        <v>0</v>
      </c>
      <c r="F69" s="229">
        <f>+'Table 1'!F93:H93</f>
        <v>0</v>
      </c>
      <c r="G69" s="229">
        <f>+'Table 1'!G93:I93</f>
        <v>0</v>
      </c>
      <c r="H69" s="229">
        <f>+'Table 1'!H93:J93</f>
        <v>0</v>
      </c>
      <c r="I69" s="229">
        <f>+'Table 1'!I93:K93</f>
        <v>0</v>
      </c>
      <c r="J69" s="229">
        <f>+'Table 1'!J93:L93</f>
        <v>0</v>
      </c>
      <c r="K69" s="229">
        <f>+'Table 1'!K93:M93</f>
        <v>0</v>
      </c>
      <c r="L69" s="229">
        <f>+'Table 1'!L93:N93</f>
        <v>0</v>
      </c>
      <c r="M69" s="229">
        <f>+'Table 1'!M93:O93</f>
        <v>0</v>
      </c>
      <c r="N69" s="229">
        <f>+'Table 1'!N93:P93</f>
        <v>0</v>
      </c>
      <c r="O69" s="229">
        <f>+'Table 1'!O93:Q93</f>
        <v>0</v>
      </c>
      <c r="P69" s="229">
        <f>+'Table 1'!P93:R93</f>
        <v>0</v>
      </c>
      <c r="Q69" s="229">
        <f>+'Table 1'!Q93:S93</f>
        <v>0</v>
      </c>
      <c r="R69" s="229">
        <f>+'Table 1'!R93:T93</f>
        <v>0</v>
      </c>
      <c r="S69" s="229">
        <f>+'Table 1'!S93:U93</f>
        <v>0</v>
      </c>
      <c r="T69" s="229">
        <f>+'Table 1'!T93:V93</f>
        <v>0</v>
      </c>
      <c r="U69" s="229">
        <f>+'Table 1'!U93:W93</f>
        <v>0</v>
      </c>
      <c r="V69" s="229">
        <f>+'Table 1'!V93:X93</f>
        <v>0</v>
      </c>
      <c r="W69" s="229">
        <f>+'Table 1'!W93:Y93</f>
        <v>0</v>
      </c>
      <c r="X69" s="229">
        <f>+'Table 1'!X93:Z93</f>
        <v>0</v>
      </c>
      <c r="Y69" s="229">
        <f>+'Table 1'!Y93:AA93</f>
        <v>0</v>
      </c>
      <c r="Z69" s="229">
        <f>+'Table 1'!Z93:AB93</f>
        <v>0</v>
      </c>
      <c r="AB69" s="239">
        <f t="shared" si="8"/>
        <v>0</v>
      </c>
      <c r="AC69" s="239">
        <f t="shared" ref="AC69:AC115" si="9">+E69*I69</f>
        <v>0</v>
      </c>
      <c r="AD69" s="239">
        <f t="shared" ref="AD69:AD115" si="10">+E69*K69</f>
        <v>0</v>
      </c>
      <c r="AE69" s="239">
        <f t="shared" ref="AE69:AE115" si="11">+E69*M69</f>
        <v>0</v>
      </c>
      <c r="AF69" s="239">
        <f t="shared" ref="AF69:AF115" si="12">+E69*O69</f>
        <v>0</v>
      </c>
      <c r="AG69" s="239">
        <f t="shared" ref="AG69:AG115" si="13">+E69*Q69</f>
        <v>0</v>
      </c>
      <c r="AH69" s="239">
        <f t="shared" ref="AH69:AH115" si="14">+E69*S69</f>
        <v>0</v>
      </c>
      <c r="AI69" s="239"/>
      <c r="AJ69" s="239">
        <f t="shared" ref="AJ69:AJ121" si="15">SUM(AB69:AI69)</f>
        <v>0</v>
      </c>
      <c r="AK69" s="238">
        <f>+'Table 1'!Y93</f>
        <v>0</v>
      </c>
      <c r="AL69" s="20">
        <f t="shared" ref="AL69:AL124" si="16">+AK69-AJ69</f>
        <v>0</v>
      </c>
    </row>
    <row r="70" spans="1:38" ht="27.6" x14ac:dyDescent="0.25">
      <c r="A70" s="228" t="str">
        <f>+'Table 1'!A94:C94</f>
        <v>A) Meeting to be conducted before formation of
WUAs ,</v>
      </c>
      <c r="B70" s="229">
        <f>+'Table 1'!B94:D94</f>
        <v>0</v>
      </c>
      <c r="C70" s="229">
        <f>+'Table 1'!C94:E94</f>
        <v>0</v>
      </c>
      <c r="D70" s="229" t="str">
        <f>+'Table 1'!D94:F94</f>
        <v>meeting</v>
      </c>
      <c r="E70" s="229">
        <f>+'Table 1'!E94:G94</f>
        <v>13342.9</v>
      </c>
      <c r="F70" s="229">
        <f>+'Table 1'!F94:H94</f>
        <v>1</v>
      </c>
      <c r="G70" s="229">
        <f>+'Table 1'!G94:I94</f>
        <v>1</v>
      </c>
      <c r="H70" s="229">
        <f>+'Table 1'!H94:J94</f>
        <v>1</v>
      </c>
      <c r="I70" s="229">
        <f>+'Table 1'!I94:K94</f>
        <v>1</v>
      </c>
      <c r="J70" s="229">
        <f>+'Table 1'!J94:L94</f>
        <v>1</v>
      </c>
      <c r="K70" s="229">
        <f>+'Table 1'!K94:M94</f>
        <v>1</v>
      </c>
      <c r="L70" s="229">
        <f>+'Table 1'!L94:N94</f>
        <v>1</v>
      </c>
      <c r="M70" s="229">
        <f>+'Table 1'!M94:O94</f>
        <v>1</v>
      </c>
      <c r="N70" s="229">
        <f>+'Table 1'!N94:P94</f>
        <v>1</v>
      </c>
      <c r="O70" s="229">
        <f>+'Table 1'!O94:Q94</f>
        <v>1</v>
      </c>
      <c r="P70" s="229">
        <f>+'Table 1'!P94:R94</f>
        <v>1</v>
      </c>
      <c r="Q70" s="229">
        <f>+'Table 1'!Q94:S94</f>
        <v>1</v>
      </c>
      <c r="R70" s="229">
        <f>+'Table 1'!R94:T94</f>
        <v>1</v>
      </c>
      <c r="S70" s="229">
        <f>+'Table 1'!S94:U94</f>
        <v>1</v>
      </c>
      <c r="T70" s="229">
        <f>+'Table 1'!T94:V94</f>
        <v>0</v>
      </c>
      <c r="U70" s="229">
        <f>+'Table 1'!U94:W94</f>
        <v>0</v>
      </c>
      <c r="V70" s="229">
        <f>+'Table 1'!V94:X94</f>
        <v>7</v>
      </c>
      <c r="W70" s="229">
        <f>+'Table 1'!W94:Y94</f>
        <v>93400.3</v>
      </c>
      <c r="X70" s="229">
        <f>+'Table 1'!X94:Z94</f>
        <v>7</v>
      </c>
      <c r="Y70" s="229">
        <f>+'Table 1'!Y94:AA94</f>
        <v>93400.3</v>
      </c>
      <c r="Z70" s="229">
        <f>+'Table 1'!Z94:AB94</f>
        <v>0</v>
      </c>
      <c r="AB70" s="239">
        <f t="shared" si="8"/>
        <v>13342.9</v>
      </c>
      <c r="AC70" s="239">
        <f t="shared" si="9"/>
        <v>13342.9</v>
      </c>
      <c r="AD70" s="239">
        <f t="shared" si="10"/>
        <v>13342.9</v>
      </c>
      <c r="AE70" s="239">
        <f t="shared" si="11"/>
        <v>13342.9</v>
      </c>
      <c r="AF70" s="239">
        <f t="shared" si="12"/>
        <v>13342.9</v>
      </c>
      <c r="AG70" s="239">
        <f t="shared" si="13"/>
        <v>13342.9</v>
      </c>
      <c r="AH70" s="239">
        <f t="shared" si="14"/>
        <v>13342.9</v>
      </c>
      <c r="AI70" s="239"/>
      <c r="AJ70" s="239">
        <f t="shared" si="15"/>
        <v>93400.299999999988</v>
      </c>
      <c r="AK70" s="238">
        <f>+'Table 1'!Y94</f>
        <v>93400.3</v>
      </c>
      <c r="AL70" s="20">
        <f t="shared" si="16"/>
        <v>0</v>
      </c>
    </row>
    <row r="71" spans="1:38" ht="27.6" x14ac:dyDescent="0.25">
      <c r="A71" s="228" t="str">
        <f>+'Table 1'!A95:C95</f>
        <v>B) Training  to be conducted before formation of
WUAs ,</v>
      </c>
      <c r="B71" s="229">
        <f>+'Table 1'!B95:D95</f>
        <v>0</v>
      </c>
      <c r="C71" s="229">
        <f>+'Table 1'!C95:E95</f>
        <v>0</v>
      </c>
      <c r="D71" s="229" t="str">
        <f>+'Table 1'!D95:F95</f>
        <v>training</v>
      </c>
      <c r="E71" s="229">
        <f>+'Table 1'!E95:G95</f>
        <v>25706.5</v>
      </c>
      <c r="F71" s="229">
        <f>+'Table 1'!F95:H95</f>
        <v>1</v>
      </c>
      <c r="G71" s="229">
        <f>+'Table 1'!G95:I95</f>
        <v>1</v>
      </c>
      <c r="H71" s="229">
        <f>+'Table 1'!H95:J95</f>
        <v>1</v>
      </c>
      <c r="I71" s="229">
        <f>+'Table 1'!I95:K95</f>
        <v>1</v>
      </c>
      <c r="J71" s="229">
        <f>+'Table 1'!J95:L95</f>
        <v>1</v>
      </c>
      <c r="K71" s="229">
        <f>+'Table 1'!K95:M95</f>
        <v>1</v>
      </c>
      <c r="L71" s="229">
        <f>+'Table 1'!L95:N95</f>
        <v>1</v>
      </c>
      <c r="M71" s="229">
        <f>+'Table 1'!M95:O95</f>
        <v>1</v>
      </c>
      <c r="N71" s="229">
        <f>+'Table 1'!N95:P95</f>
        <v>1</v>
      </c>
      <c r="O71" s="229">
        <f>+'Table 1'!O95:Q95</f>
        <v>1</v>
      </c>
      <c r="P71" s="229">
        <f>+'Table 1'!P95:R95</f>
        <v>1</v>
      </c>
      <c r="Q71" s="229">
        <f>+'Table 1'!Q95:S95</f>
        <v>1</v>
      </c>
      <c r="R71" s="229">
        <f>+'Table 1'!R95:T95</f>
        <v>1</v>
      </c>
      <c r="S71" s="229">
        <f>+'Table 1'!S95:U95</f>
        <v>1</v>
      </c>
      <c r="T71" s="229">
        <f>+'Table 1'!T95:V95</f>
        <v>0</v>
      </c>
      <c r="U71" s="229">
        <f>+'Table 1'!U95:W95</f>
        <v>0</v>
      </c>
      <c r="V71" s="229">
        <f>+'Table 1'!V95:X95</f>
        <v>7</v>
      </c>
      <c r="W71" s="229">
        <f>+'Table 1'!W95:Y95</f>
        <v>179945.5</v>
      </c>
      <c r="X71" s="229">
        <f>+'Table 1'!X95:Z95</f>
        <v>7</v>
      </c>
      <c r="Y71" s="229">
        <f>+'Table 1'!Y95:AA95</f>
        <v>179945.5</v>
      </c>
      <c r="Z71" s="229">
        <f>+'Table 1'!Z95:AB95</f>
        <v>0</v>
      </c>
      <c r="AB71" s="239">
        <f t="shared" si="8"/>
        <v>25706.5</v>
      </c>
      <c r="AC71" s="239">
        <f t="shared" si="9"/>
        <v>25706.5</v>
      </c>
      <c r="AD71" s="239">
        <f t="shared" si="10"/>
        <v>25706.5</v>
      </c>
      <c r="AE71" s="239">
        <f t="shared" si="11"/>
        <v>25706.5</v>
      </c>
      <c r="AF71" s="239">
        <f t="shared" si="12"/>
        <v>25706.5</v>
      </c>
      <c r="AG71" s="239">
        <f t="shared" si="13"/>
        <v>25706.5</v>
      </c>
      <c r="AH71" s="239">
        <f t="shared" si="14"/>
        <v>25706.5</v>
      </c>
      <c r="AI71" s="239"/>
      <c r="AJ71" s="239">
        <f t="shared" si="15"/>
        <v>179945.5</v>
      </c>
      <c r="AK71" s="238">
        <f>+'Table 1'!Y95</f>
        <v>179945.5</v>
      </c>
      <c r="AL71" s="20">
        <f t="shared" si="16"/>
        <v>0</v>
      </c>
    </row>
    <row r="72" spans="1:38" ht="15.6" x14ac:dyDescent="0.25">
      <c r="A72" s="228" t="str">
        <f>+'Table 1'!A96:C96</f>
        <v>C) Training to be conducted after formation of</v>
      </c>
      <c r="B72" s="229">
        <f>+'Table 1'!B96:D96</f>
        <v>0</v>
      </c>
      <c r="C72" s="229">
        <f>+'Table 1'!C96:E96</f>
        <v>0</v>
      </c>
      <c r="D72" s="229" t="str">
        <f>+'Table 1'!D96:F96</f>
        <v>training</v>
      </c>
      <c r="E72" s="229">
        <f>+'Table 1'!E96:G96</f>
        <v>25706.5</v>
      </c>
      <c r="F72" s="229">
        <f>+'Table 1'!F96:H96</f>
        <v>1</v>
      </c>
      <c r="G72" s="229">
        <f>+'Table 1'!G96:I96</f>
        <v>1</v>
      </c>
      <c r="H72" s="229">
        <f>+'Table 1'!H96:J96</f>
        <v>1</v>
      </c>
      <c r="I72" s="229">
        <f>+'Table 1'!I96:K96</f>
        <v>1</v>
      </c>
      <c r="J72" s="229">
        <f>+'Table 1'!J96:L96</f>
        <v>1</v>
      </c>
      <c r="K72" s="229">
        <f>+'Table 1'!K96:M96</f>
        <v>1</v>
      </c>
      <c r="L72" s="229">
        <f>+'Table 1'!L96:N96</f>
        <v>1</v>
      </c>
      <c r="M72" s="229">
        <f>+'Table 1'!M96:O96</f>
        <v>1</v>
      </c>
      <c r="N72" s="229">
        <f>+'Table 1'!N96:P96</f>
        <v>1</v>
      </c>
      <c r="O72" s="229">
        <f>+'Table 1'!O96:Q96</f>
        <v>1</v>
      </c>
      <c r="P72" s="229">
        <f>+'Table 1'!P96:R96</f>
        <v>1</v>
      </c>
      <c r="Q72" s="229">
        <f>+'Table 1'!Q96:S96</f>
        <v>1</v>
      </c>
      <c r="R72" s="229">
        <f>+'Table 1'!R96:T96</f>
        <v>1</v>
      </c>
      <c r="S72" s="229">
        <f>+'Table 1'!S96:U96</f>
        <v>1</v>
      </c>
      <c r="T72" s="229">
        <f>+'Table 1'!T96:V96</f>
        <v>0</v>
      </c>
      <c r="U72" s="229">
        <f>+'Table 1'!U96:W96</f>
        <v>0</v>
      </c>
      <c r="V72" s="229">
        <f>+'Table 1'!V96:X96</f>
        <v>7</v>
      </c>
      <c r="W72" s="229">
        <f>+'Table 1'!W96:Y96</f>
        <v>179945.5</v>
      </c>
      <c r="X72" s="229">
        <f>+'Table 1'!X96:Z96</f>
        <v>7</v>
      </c>
      <c r="Y72" s="229">
        <f>+'Table 1'!Y96:AA96</f>
        <v>179945.5</v>
      </c>
      <c r="Z72" s="229">
        <f>+'Table 1'!Z96:AB96</f>
        <v>0</v>
      </c>
      <c r="AB72" s="239">
        <f t="shared" ref="AB72:AB115" si="17">+E72*G72</f>
        <v>25706.5</v>
      </c>
      <c r="AC72" s="239">
        <f t="shared" si="9"/>
        <v>25706.5</v>
      </c>
      <c r="AD72" s="239">
        <f t="shared" si="10"/>
        <v>25706.5</v>
      </c>
      <c r="AE72" s="239">
        <f t="shared" si="11"/>
        <v>25706.5</v>
      </c>
      <c r="AF72" s="239">
        <f t="shared" si="12"/>
        <v>25706.5</v>
      </c>
      <c r="AG72" s="239">
        <f t="shared" si="13"/>
        <v>25706.5</v>
      </c>
      <c r="AH72" s="239">
        <f t="shared" si="14"/>
        <v>25706.5</v>
      </c>
      <c r="AI72" s="239"/>
      <c r="AJ72" s="239">
        <f t="shared" si="15"/>
        <v>179945.5</v>
      </c>
      <c r="AK72" s="238">
        <f>+'Table 1'!Y96</f>
        <v>179945.5</v>
      </c>
      <c r="AL72" s="20">
        <f t="shared" si="16"/>
        <v>0</v>
      </c>
    </row>
    <row r="73" spans="1:38" ht="15.6" x14ac:dyDescent="0.25">
      <c r="A73" s="228" t="str">
        <f>+'Table 1'!A97:C97</f>
        <v>Item No. 20 :-Labour  charges for collections of</v>
      </c>
      <c r="B73" s="229">
        <f>+'Table 1'!B97:D97</f>
        <v>0</v>
      </c>
      <c r="C73" s="229">
        <f>+'Table 1'!C97:E97</f>
        <v>0</v>
      </c>
      <c r="D73" s="229" t="str">
        <f>+'Table 1'!D97:F97</f>
        <v>ha</v>
      </c>
      <c r="E73" s="229">
        <f>+'Table 1'!E97:G97</f>
        <v>169</v>
      </c>
      <c r="F73" s="229">
        <f>+'Table 1'!F97:H97</f>
        <v>249.9</v>
      </c>
      <c r="G73" s="229">
        <f>+'Table 1'!G97:I97</f>
        <v>298.12</v>
      </c>
      <c r="H73" s="229">
        <f>+'Table 1'!H97:J97</f>
        <v>95.22</v>
      </c>
      <c r="I73" s="229">
        <f>+'Table 1'!I97:K97</f>
        <v>117.44</v>
      </c>
      <c r="J73" s="229">
        <f>+'Table 1'!J97:L97</f>
        <v>908.08</v>
      </c>
      <c r="K73" s="229">
        <f>+'Table 1'!K97:M97</f>
        <v>1059.9000000000001</v>
      </c>
      <c r="L73" s="229">
        <f>+'Table 1'!L97:N97</f>
        <v>104.38</v>
      </c>
      <c r="M73" s="229">
        <f>+'Table 1'!M97:O97</f>
        <v>155.84</v>
      </c>
      <c r="N73" s="229">
        <f>+'Table 1'!N97:P97</f>
        <v>329.76</v>
      </c>
      <c r="O73" s="229">
        <f>+'Table 1'!O97:Q97</f>
        <v>444.98</v>
      </c>
      <c r="P73" s="229">
        <f>+'Table 1'!P97:R97</f>
        <v>987</v>
      </c>
      <c r="Q73" s="229">
        <f>+'Table 1'!Q97:S97</f>
        <v>1272.92</v>
      </c>
      <c r="R73" s="229">
        <f>+'Table 1'!R97:T97</f>
        <v>267.16000000000003</v>
      </c>
      <c r="S73" s="229">
        <f>+'Table 1'!S97:U97</f>
        <v>322.38</v>
      </c>
      <c r="T73" s="229">
        <f>+'Table 1'!T97:V97</f>
        <v>0</v>
      </c>
      <c r="U73" s="229">
        <f>+'Table 1'!U97:W97</f>
        <v>0</v>
      </c>
      <c r="V73" s="229">
        <f>+'Table 1'!V97:X97</f>
        <v>2941.5</v>
      </c>
      <c r="W73" s="229">
        <f>+'Table 1'!W97:Y97</f>
        <v>497113.5</v>
      </c>
      <c r="X73" s="229">
        <f>+'Table 1'!X97:Z97</f>
        <v>3671.5800000000004</v>
      </c>
      <c r="Y73" s="229">
        <f>+'Table 1'!Y97:AA97</f>
        <v>620497.02</v>
      </c>
      <c r="Z73" s="229">
        <f>+'Table 1'!Z97:AB97</f>
        <v>123383.52000000002</v>
      </c>
      <c r="AB73" s="239">
        <f t="shared" si="17"/>
        <v>50382.28</v>
      </c>
      <c r="AC73" s="239">
        <f t="shared" si="9"/>
        <v>19847.36</v>
      </c>
      <c r="AD73" s="239">
        <f t="shared" si="10"/>
        <v>179123.1</v>
      </c>
      <c r="AE73" s="239">
        <f t="shared" si="11"/>
        <v>26336.959999999999</v>
      </c>
      <c r="AF73" s="239">
        <f t="shared" si="12"/>
        <v>75201.62000000001</v>
      </c>
      <c r="AG73" s="239">
        <f t="shared" si="13"/>
        <v>215123.48</v>
      </c>
      <c r="AH73" s="239">
        <f t="shared" si="14"/>
        <v>54482.22</v>
      </c>
      <c r="AI73" s="239"/>
      <c r="AJ73" s="239">
        <f t="shared" si="15"/>
        <v>620497.02</v>
      </c>
      <c r="AK73" s="238">
        <f>+'Table 1'!Y97</f>
        <v>620497.02</v>
      </c>
      <c r="AL73" s="20">
        <f t="shared" si="16"/>
        <v>0</v>
      </c>
    </row>
    <row r="74" spans="1:38" ht="15.6" x14ac:dyDescent="0.25">
      <c r="A74" s="228" t="str">
        <f>+'Table 1'!A98:C98</f>
        <v>Item No. 21:- Full Bore Electromagnetic Flow Meter</v>
      </c>
      <c r="B74" s="229">
        <f>+'Table 1'!B98:D98</f>
        <v>0</v>
      </c>
      <c r="C74" s="229">
        <f>+'Table 1'!C98:E98</f>
        <v>0</v>
      </c>
      <c r="D74" s="229">
        <f>+'Table 1'!D98:F98</f>
        <v>0</v>
      </c>
      <c r="E74" s="229">
        <f>+'Table 1'!E98:G98</f>
        <v>0</v>
      </c>
      <c r="F74" s="229">
        <f>+'Table 1'!F98:H98</f>
        <v>0</v>
      </c>
      <c r="G74" s="229">
        <f>+'Table 1'!G98:I98</f>
        <v>0</v>
      </c>
      <c r="H74" s="229">
        <f>+'Table 1'!H98:J98</f>
        <v>0</v>
      </c>
      <c r="I74" s="229">
        <f>+'Table 1'!I98:K98</f>
        <v>0</v>
      </c>
      <c r="J74" s="229">
        <f>+'Table 1'!J98:L98</f>
        <v>0</v>
      </c>
      <c r="K74" s="229">
        <f>+'Table 1'!K98:M98</f>
        <v>0</v>
      </c>
      <c r="L74" s="229">
        <f>+'Table 1'!L98:N98</f>
        <v>0</v>
      </c>
      <c r="M74" s="229">
        <f>+'Table 1'!M98:O98</f>
        <v>0</v>
      </c>
      <c r="N74" s="229">
        <f>+'Table 1'!N98:P98</f>
        <v>0</v>
      </c>
      <c r="O74" s="229">
        <f>+'Table 1'!O98:Q98</f>
        <v>0</v>
      </c>
      <c r="P74" s="229">
        <f>+'Table 1'!P98:R98</f>
        <v>0</v>
      </c>
      <c r="Q74" s="229">
        <f>+'Table 1'!Q98:S98</f>
        <v>0</v>
      </c>
      <c r="R74" s="229">
        <f>+'Table 1'!R98:T98</f>
        <v>0</v>
      </c>
      <c r="S74" s="229">
        <f>+'Table 1'!S98:U98</f>
        <v>0</v>
      </c>
      <c r="T74" s="229">
        <f>+'Table 1'!T98:V98</f>
        <v>0</v>
      </c>
      <c r="U74" s="229">
        <f>+'Table 1'!U98:W98</f>
        <v>0</v>
      </c>
      <c r="V74" s="229">
        <f>+'Table 1'!V98:X98</f>
        <v>0</v>
      </c>
      <c r="W74" s="229">
        <f>+'Table 1'!W98:Y98</f>
        <v>0</v>
      </c>
      <c r="X74" s="229">
        <f>+'Table 1'!X98:Z98</f>
        <v>0</v>
      </c>
      <c r="Y74" s="229">
        <f>+'Table 1'!Y98:AA98</f>
        <v>0</v>
      </c>
      <c r="Z74" s="229">
        <f>+'Table 1'!Z98:AB98</f>
        <v>0</v>
      </c>
      <c r="AB74" s="239">
        <f t="shared" si="17"/>
        <v>0</v>
      </c>
      <c r="AC74" s="239">
        <f t="shared" si="9"/>
        <v>0</v>
      </c>
      <c r="AD74" s="239">
        <f t="shared" si="10"/>
        <v>0</v>
      </c>
      <c r="AE74" s="239">
        <f t="shared" si="11"/>
        <v>0</v>
      </c>
      <c r="AF74" s="239">
        <f t="shared" si="12"/>
        <v>0</v>
      </c>
      <c r="AG74" s="239">
        <f t="shared" si="13"/>
        <v>0</v>
      </c>
      <c r="AH74" s="239">
        <f t="shared" si="14"/>
        <v>0</v>
      </c>
      <c r="AI74" s="239"/>
      <c r="AJ74" s="239">
        <f t="shared" si="15"/>
        <v>0</v>
      </c>
      <c r="AK74" s="238">
        <f>+'Table 1'!Y98</f>
        <v>0</v>
      </c>
      <c r="AL74" s="20">
        <f t="shared" si="16"/>
        <v>0</v>
      </c>
    </row>
    <row r="75" spans="1:38" ht="15.6" x14ac:dyDescent="0.25">
      <c r="A75" s="228" t="str">
        <f>+'Table 1'!A99:C99</f>
        <v>a</v>
      </c>
      <c r="B75" s="229">
        <f>+'Table 1'!B99:D99</f>
        <v>300</v>
      </c>
      <c r="C75" s="229" t="str">
        <f>+'Table 1'!C99:E99</f>
        <v>mm</v>
      </c>
      <c r="D75" s="229" t="str">
        <f>+'Table 1'!D99:F99</f>
        <v>No</v>
      </c>
      <c r="E75" s="229">
        <f>+'Table 1'!E99:G99</f>
        <v>216024</v>
      </c>
      <c r="F75" s="229">
        <f>+'Table 1'!F99:H99</f>
        <v>0</v>
      </c>
      <c r="G75" s="229">
        <f>+'Table 1'!G99:I99</f>
        <v>0</v>
      </c>
      <c r="H75" s="229">
        <f>+'Table 1'!H99:J99</f>
        <v>0</v>
      </c>
      <c r="I75" s="229">
        <f>+'Table 1'!I99:K99</f>
        <v>1</v>
      </c>
      <c r="J75" s="229">
        <f>+'Table 1'!J99:L99</f>
        <v>0</v>
      </c>
      <c r="K75" s="229">
        <f>+'Table 1'!K99:M99</f>
        <v>0</v>
      </c>
      <c r="L75" s="229">
        <f>+'Table 1'!L99:N99</f>
        <v>0</v>
      </c>
      <c r="M75" s="229">
        <f>+'Table 1'!M99:O99</f>
        <v>0</v>
      </c>
      <c r="N75" s="229">
        <f>+'Table 1'!N99:P99</f>
        <v>0</v>
      </c>
      <c r="O75" s="229">
        <f>+'Table 1'!O99:Q99</f>
        <v>0</v>
      </c>
      <c r="P75" s="229">
        <f>+'Table 1'!P99:R99</f>
        <v>0</v>
      </c>
      <c r="Q75" s="229">
        <f>+'Table 1'!Q99:S99</f>
        <v>0</v>
      </c>
      <c r="R75" s="229">
        <f>+'Table 1'!R99:T99</f>
        <v>0</v>
      </c>
      <c r="S75" s="229">
        <f>+'Table 1'!S99:U99</f>
        <v>0</v>
      </c>
      <c r="T75" s="229">
        <f>+'Table 1'!T99:V99</f>
        <v>0</v>
      </c>
      <c r="U75" s="229">
        <f>+'Table 1'!U99:W99</f>
        <v>0</v>
      </c>
      <c r="V75" s="229">
        <f>+'Table 1'!V99:X99</f>
        <v>0</v>
      </c>
      <c r="W75" s="229">
        <f>+'Table 1'!W99:Y99</f>
        <v>0</v>
      </c>
      <c r="X75" s="229">
        <f>+'Table 1'!X99:Z99</f>
        <v>1</v>
      </c>
      <c r="Y75" s="229">
        <f>+'Table 1'!Y99:AA99</f>
        <v>216024</v>
      </c>
      <c r="Z75" s="229">
        <f>+'Table 1'!Z99:AB99</f>
        <v>216024</v>
      </c>
      <c r="AB75" s="239">
        <f t="shared" si="17"/>
        <v>0</v>
      </c>
      <c r="AC75" s="239">
        <f t="shared" si="9"/>
        <v>216024</v>
      </c>
      <c r="AD75" s="239">
        <f t="shared" si="10"/>
        <v>0</v>
      </c>
      <c r="AE75" s="239">
        <f t="shared" si="11"/>
        <v>0</v>
      </c>
      <c r="AF75" s="239">
        <f t="shared" si="12"/>
        <v>0</v>
      </c>
      <c r="AG75" s="239">
        <f t="shared" si="13"/>
        <v>0</v>
      </c>
      <c r="AH75" s="239">
        <f t="shared" si="14"/>
        <v>0</v>
      </c>
      <c r="AI75" s="239"/>
      <c r="AJ75" s="239">
        <f t="shared" si="15"/>
        <v>216024</v>
      </c>
      <c r="AK75" s="238">
        <f>+'Table 1'!Y99</f>
        <v>216024</v>
      </c>
      <c r="AL75" s="20">
        <f t="shared" si="16"/>
        <v>0</v>
      </c>
    </row>
    <row r="76" spans="1:38" ht="15.6" x14ac:dyDescent="0.25">
      <c r="A76" s="228" t="str">
        <f>+'Table 1'!A100:C100</f>
        <v>b</v>
      </c>
      <c r="B76" s="229">
        <f>+'Table 1'!B100:D100</f>
        <v>350</v>
      </c>
      <c r="C76" s="229" t="str">
        <f>+'Table 1'!C100:E100</f>
        <v>mm</v>
      </c>
      <c r="D76" s="229" t="str">
        <f>+'Table 1'!D100:F100</f>
        <v>No</v>
      </c>
      <c r="E76" s="229">
        <f>+'Table 1'!E100:G100</f>
        <v>298787</v>
      </c>
      <c r="F76" s="229">
        <f>+'Table 1'!F100:H100</f>
        <v>0</v>
      </c>
      <c r="G76" s="229">
        <f>+'Table 1'!G100:I100</f>
        <v>0</v>
      </c>
      <c r="H76" s="229">
        <f>+'Table 1'!H100:J100</f>
        <v>0</v>
      </c>
      <c r="I76" s="229">
        <f>+'Table 1'!I100:K100</f>
        <v>0</v>
      </c>
      <c r="J76" s="229">
        <f>+'Table 1'!J100:L100</f>
        <v>0</v>
      </c>
      <c r="K76" s="229">
        <f>+'Table 1'!K100:M100</f>
        <v>0</v>
      </c>
      <c r="L76" s="229">
        <f>+'Table 1'!L100:N100</f>
        <v>1</v>
      </c>
      <c r="M76" s="229">
        <f>+'Table 1'!M100:O100</f>
        <v>1</v>
      </c>
      <c r="N76" s="229">
        <f>+'Table 1'!N100:P100</f>
        <v>0</v>
      </c>
      <c r="O76" s="229">
        <f>+'Table 1'!O100:Q100</f>
        <v>0</v>
      </c>
      <c r="P76" s="229">
        <f>+'Table 1'!P100:R100</f>
        <v>0</v>
      </c>
      <c r="Q76" s="229">
        <f>+'Table 1'!Q100:S100</f>
        <v>0</v>
      </c>
      <c r="R76" s="229">
        <f>+'Table 1'!R100:T100</f>
        <v>0</v>
      </c>
      <c r="S76" s="229">
        <f>+'Table 1'!S100:U100</f>
        <v>0</v>
      </c>
      <c r="T76" s="229">
        <f>+'Table 1'!T100:V100</f>
        <v>0</v>
      </c>
      <c r="U76" s="229">
        <f>+'Table 1'!U100:W100</f>
        <v>0</v>
      </c>
      <c r="V76" s="229">
        <f>+'Table 1'!V100:X100</f>
        <v>1</v>
      </c>
      <c r="W76" s="229">
        <f>+'Table 1'!W100:Y100</f>
        <v>298787</v>
      </c>
      <c r="X76" s="229">
        <f>+'Table 1'!X100:Z100</f>
        <v>1</v>
      </c>
      <c r="Y76" s="229">
        <f>+'Table 1'!Y100:AA100</f>
        <v>298787</v>
      </c>
      <c r="Z76" s="229">
        <f>+'Table 1'!Z100:AB100</f>
        <v>0</v>
      </c>
      <c r="AB76" s="239">
        <f t="shared" si="17"/>
        <v>0</v>
      </c>
      <c r="AC76" s="239">
        <f t="shared" si="9"/>
        <v>0</v>
      </c>
      <c r="AD76" s="239">
        <f t="shared" si="10"/>
        <v>0</v>
      </c>
      <c r="AE76" s="239">
        <f t="shared" si="11"/>
        <v>298787</v>
      </c>
      <c r="AF76" s="239">
        <f t="shared" si="12"/>
        <v>0</v>
      </c>
      <c r="AG76" s="239">
        <f t="shared" si="13"/>
        <v>0</v>
      </c>
      <c r="AH76" s="239">
        <f t="shared" si="14"/>
        <v>0</v>
      </c>
      <c r="AI76" s="239"/>
      <c r="AJ76" s="239">
        <f t="shared" si="15"/>
        <v>298787</v>
      </c>
      <c r="AK76" s="238">
        <f>+'Table 1'!Y100</f>
        <v>298787</v>
      </c>
      <c r="AL76" s="20">
        <f t="shared" si="16"/>
        <v>0</v>
      </c>
    </row>
    <row r="77" spans="1:38" ht="15.6" x14ac:dyDescent="0.25">
      <c r="A77" s="228" t="str">
        <f>+'Table 1'!A101:C101</f>
        <v>c</v>
      </c>
      <c r="B77" s="229">
        <f>+'Table 1'!B101:D101</f>
        <v>600</v>
      </c>
      <c r="C77" s="229" t="str">
        <f>+'Table 1'!C101:E101</f>
        <v>mm</v>
      </c>
      <c r="D77" s="229" t="str">
        <f>+'Table 1'!D101:F101</f>
        <v>No</v>
      </c>
      <c r="E77" s="229">
        <f>+'Table 1'!E101:G101</f>
        <v>487378</v>
      </c>
      <c r="F77" s="229">
        <f>+'Table 1'!F101:H101</f>
        <v>1</v>
      </c>
      <c r="G77" s="229">
        <f>+'Table 1'!G101:I101</f>
        <v>1</v>
      </c>
      <c r="H77" s="229">
        <f>+'Table 1'!H101:J101</f>
        <v>0</v>
      </c>
      <c r="I77" s="229">
        <f>+'Table 1'!I101:K101</f>
        <v>0</v>
      </c>
      <c r="J77" s="229">
        <f>+'Table 1'!J101:L101</f>
        <v>0</v>
      </c>
      <c r="K77" s="229">
        <f>+'Table 1'!K101:M101</f>
        <v>0</v>
      </c>
      <c r="L77" s="229">
        <f>+'Table 1'!L101:N101</f>
        <v>0</v>
      </c>
      <c r="M77" s="229">
        <f>+'Table 1'!M101:O101</f>
        <v>0</v>
      </c>
      <c r="N77" s="229">
        <f>+'Table 1'!N101:P101</f>
        <v>1</v>
      </c>
      <c r="O77" s="229">
        <f>+'Table 1'!O101:Q101</f>
        <v>1</v>
      </c>
      <c r="P77" s="229">
        <f>+'Table 1'!P101:R101</f>
        <v>0</v>
      </c>
      <c r="Q77" s="229">
        <f>+'Table 1'!Q101:S101</f>
        <v>0</v>
      </c>
      <c r="R77" s="229">
        <f>+'Table 1'!R101:T101</f>
        <v>0</v>
      </c>
      <c r="S77" s="229">
        <f>+'Table 1'!S101:U101</f>
        <v>0</v>
      </c>
      <c r="T77" s="229">
        <f>+'Table 1'!T101:V101</f>
        <v>0</v>
      </c>
      <c r="U77" s="229">
        <f>+'Table 1'!U101:W101</f>
        <v>0</v>
      </c>
      <c r="V77" s="229">
        <f>+'Table 1'!V101:X101</f>
        <v>2</v>
      </c>
      <c r="W77" s="229">
        <f>+'Table 1'!W101:Y101</f>
        <v>974756</v>
      </c>
      <c r="X77" s="229">
        <f>+'Table 1'!X101:Z101</f>
        <v>2</v>
      </c>
      <c r="Y77" s="229">
        <f>+'Table 1'!Y101:AA101</f>
        <v>974756</v>
      </c>
      <c r="Z77" s="229">
        <f>+'Table 1'!Z101:AB101</f>
        <v>0</v>
      </c>
      <c r="AB77" s="239">
        <f t="shared" si="17"/>
        <v>487378</v>
      </c>
      <c r="AC77" s="239">
        <f t="shared" si="9"/>
        <v>0</v>
      </c>
      <c r="AD77" s="239">
        <f t="shared" si="10"/>
        <v>0</v>
      </c>
      <c r="AE77" s="239">
        <f t="shared" si="11"/>
        <v>0</v>
      </c>
      <c r="AF77" s="239">
        <f t="shared" si="12"/>
        <v>487378</v>
      </c>
      <c r="AG77" s="239">
        <f t="shared" si="13"/>
        <v>0</v>
      </c>
      <c r="AH77" s="239">
        <f t="shared" si="14"/>
        <v>0</v>
      </c>
      <c r="AI77" s="239"/>
      <c r="AJ77" s="239">
        <f t="shared" si="15"/>
        <v>974756</v>
      </c>
      <c r="AK77" s="238">
        <f>+'Table 1'!Y101</f>
        <v>974756</v>
      </c>
      <c r="AL77" s="20">
        <f t="shared" si="16"/>
        <v>0</v>
      </c>
    </row>
    <row r="78" spans="1:38" ht="15.6" x14ac:dyDescent="0.25">
      <c r="A78" s="228" t="str">
        <f>+'Table 1'!A102:C102</f>
        <v>d</v>
      </c>
      <c r="B78" s="229">
        <f>+'Table 1'!B102:D102</f>
        <v>700</v>
      </c>
      <c r="C78" s="229" t="str">
        <f>+'Table 1'!C102:E102</f>
        <v>mm</v>
      </c>
      <c r="D78" s="229" t="str">
        <f>+'Table 1'!D102:F102</f>
        <v>No</v>
      </c>
      <c r="E78" s="229">
        <f>+'Table 1'!E102:G102</f>
        <v>523463</v>
      </c>
      <c r="F78" s="229">
        <f>+'Table 1'!F102:H102</f>
        <v>0</v>
      </c>
      <c r="G78" s="229">
        <f>+'Table 1'!G102:I102</f>
        <v>0</v>
      </c>
      <c r="H78" s="229">
        <f>+'Table 1'!H102:J102</f>
        <v>0</v>
      </c>
      <c r="I78" s="229">
        <f>+'Table 1'!I102:K102</f>
        <v>0</v>
      </c>
      <c r="J78" s="229">
        <f>+'Table 1'!J102:L102</f>
        <v>0</v>
      </c>
      <c r="K78" s="229">
        <f>+'Table 1'!K102:M102</f>
        <v>0</v>
      </c>
      <c r="L78" s="229">
        <f>+'Table 1'!L102:N102</f>
        <v>0</v>
      </c>
      <c r="M78" s="229">
        <f>+'Table 1'!M102:O102</f>
        <v>0</v>
      </c>
      <c r="N78" s="229">
        <f>+'Table 1'!N102:P102</f>
        <v>0</v>
      </c>
      <c r="O78" s="229">
        <f>+'Table 1'!O102:Q102</f>
        <v>0</v>
      </c>
      <c r="P78" s="229">
        <f>+'Table 1'!P102:R102</f>
        <v>0</v>
      </c>
      <c r="Q78" s="229">
        <f>+'Table 1'!Q102:S102</f>
        <v>0</v>
      </c>
      <c r="R78" s="229">
        <f>+'Table 1'!R102:T102</f>
        <v>1</v>
      </c>
      <c r="S78" s="229">
        <f>+'Table 1'!S102:U102</f>
        <v>0</v>
      </c>
      <c r="T78" s="229">
        <f>+'Table 1'!T102:V102</f>
        <v>0</v>
      </c>
      <c r="U78" s="229">
        <f>+'Table 1'!U102:W102</f>
        <v>0</v>
      </c>
      <c r="V78" s="229">
        <f>+'Table 1'!V102:X102</f>
        <v>1</v>
      </c>
      <c r="W78" s="229">
        <f>+'Table 1'!W102:Y102</f>
        <v>523463</v>
      </c>
      <c r="X78" s="229">
        <f>+'Table 1'!X102:Z102</f>
        <v>0</v>
      </c>
      <c r="Y78" s="229">
        <f>+'Table 1'!Y102:AA102</f>
        <v>0</v>
      </c>
      <c r="Z78" s="229">
        <f>+'Table 1'!Z102:AB102</f>
        <v>-523463</v>
      </c>
      <c r="AB78" s="239">
        <f t="shared" si="17"/>
        <v>0</v>
      </c>
      <c r="AC78" s="239">
        <f t="shared" si="9"/>
        <v>0</v>
      </c>
      <c r="AD78" s="239">
        <f t="shared" si="10"/>
        <v>0</v>
      </c>
      <c r="AE78" s="239">
        <f t="shared" si="11"/>
        <v>0</v>
      </c>
      <c r="AF78" s="239">
        <f t="shared" si="12"/>
        <v>0</v>
      </c>
      <c r="AG78" s="239">
        <f t="shared" si="13"/>
        <v>0</v>
      </c>
      <c r="AH78" s="239">
        <f t="shared" si="14"/>
        <v>0</v>
      </c>
      <c r="AI78" s="239"/>
      <c r="AJ78" s="239">
        <f t="shared" si="15"/>
        <v>0</v>
      </c>
      <c r="AK78" s="238">
        <f>+'Table 1'!Y102</f>
        <v>0</v>
      </c>
      <c r="AL78" s="20">
        <f t="shared" si="16"/>
        <v>0</v>
      </c>
    </row>
    <row r="79" spans="1:38" ht="15.6" x14ac:dyDescent="0.25">
      <c r="A79" s="228" t="str">
        <f>+'Table 1'!A103:C103</f>
        <v>e</v>
      </c>
      <c r="B79" s="229">
        <f>+'Table 1'!B103:D103</f>
        <v>900</v>
      </c>
      <c r="C79" s="229" t="str">
        <f>+'Table 1'!C103:E103</f>
        <v>mm</v>
      </c>
      <c r="D79" s="229" t="str">
        <f>+'Table 1'!D103:F103</f>
        <v>No</v>
      </c>
      <c r="E79" s="229">
        <f>+'Table 1'!E103:G103</f>
        <v>715824</v>
      </c>
      <c r="F79" s="229">
        <f>+'Table 1'!F103:H103</f>
        <v>0</v>
      </c>
      <c r="G79" s="229">
        <f>+'Table 1'!G103:I103</f>
        <v>0</v>
      </c>
      <c r="H79" s="229">
        <f>+'Table 1'!H103:J103</f>
        <v>0</v>
      </c>
      <c r="I79" s="229">
        <f>+'Table 1'!I103:K103</f>
        <v>0</v>
      </c>
      <c r="J79" s="229">
        <f>+'Table 1'!J103:L103</f>
        <v>1</v>
      </c>
      <c r="K79" s="229">
        <f>+'Table 1'!K103:M103</f>
        <v>1</v>
      </c>
      <c r="L79" s="229">
        <f>+'Table 1'!L103:N103</f>
        <v>0</v>
      </c>
      <c r="M79" s="229">
        <f>+'Table 1'!M103:O103</f>
        <v>0</v>
      </c>
      <c r="N79" s="229">
        <f>+'Table 1'!N103:P103</f>
        <v>0</v>
      </c>
      <c r="O79" s="229">
        <f>+'Table 1'!O103:Q103</f>
        <v>0</v>
      </c>
      <c r="P79" s="229">
        <f>+'Table 1'!P103:R103</f>
        <v>1</v>
      </c>
      <c r="Q79" s="229">
        <f>+'Table 1'!Q103:S103</f>
        <v>1</v>
      </c>
      <c r="R79" s="229">
        <f>+'Table 1'!R103:T103</f>
        <v>0</v>
      </c>
      <c r="S79" s="229">
        <f>+'Table 1'!S103:U103</f>
        <v>0</v>
      </c>
      <c r="T79" s="229">
        <f>+'Table 1'!T103:V103</f>
        <v>0</v>
      </c>
      <c r="U79" s="229">
        <f>+'Table 1'!U103:W103</f>
        <v>0</v>
      </c>
      <c r="V79" s="229">
        <f>+'Table 1'!V103:X103</f>
        <v>2</v>
      </c>
      <c r="W79" s="229">
        <f>+'Table 1'!W103:Y103</f>
        <v>1431648</v>
      </c>
      <c r="X79" s="229">
        <f>+'Table 1'!X103:Z103</f>
        <v>2</v>
      </c>
      <c r="Y79" s="229">
        <f>+'Table 1'!Y103:AA103</f>
        <v>1431648</v>
      </c>
      <c r="Z79" s="229">
        <f>+'Table 1'!Z103:AB103</f>
        <v>0</v>
      </c>
      <c r="AB79" s="239">
        <f t="shared" si="17"/>
        <v>0</v>
      </c>
      <c r="AC79" s="239">
        <f t="shared" si="9"/>
        <v>0</v>
      </c>
      <c r="AD79" s="239">
        <f t="shared" si="10"/>
        <v>715824</v>
      </c>
      <c r="AE79" s="239">
        <f t="shared" si="11"/>
        <v>0</v>
      </c>
      <c r="AF79" s="239">
        <f t="shared" si="12"/>
        <v>0</v>
      </c>
      <c r="AG79" s="239">
        <f t="shared" si="13"/>
        <v>715824</v>
      </c>
      <c r="AH79" s="239">
        <f t="shared" si="14"/>
        <v>0</v>
      </c>
      <c r="AI79" s="239"/>
      <c r="AJ79" s="239">
        <f t="shared" si="15"/>
        <v>1431648</v>
      </c>
      <c r="AK79" s="238">
        <f>+'Table 1'!Y103</f>
        <v>1431648</v>
      </c>
      <c r="AL79" s="20">
        <f t="shared" si="16"/>
        <v>0</v>
      </c>
    </row>
    <row r="80" spans="1:38" ht="15.6" x14ac:dyDescent="0.25">
      <c r="A80" s="228">
        <f>+'Table 1'!A104:C104</f>
        <v>0</v>
      </c>
      <c r="B80" s="229">
        <f>+'Table 1'!B104:D104</f>
        <v>1200</v>
      </c>
      <c r="C80" s="229" t="str">
        <f>+'Table 1'!C104:E104</f>
        <v>mm</v>
      </c>
      <c r="D80" s="229" t="str">
        <f>+'Table 1'!D104:F104</f>
        <v>No</v>
      </c>
      <c r="E80" s="229">
        <f>+'Table 1'!E104:G104</f>
        <v>523463.49</v>
      </c>
      <c r="F80" s="229">
        <f>+'Table 1'!F104:H104</f>
        <v>0</v>
      </c>
      <c r="G80" s="229">
        <f>+'Table 1'!G104:I104</f>
        <v>0</v>
      </c>
      <c r="H80" s="229">
        <f>+'Table 1'!H104:J104</f>
        <v>1</v>
      </c>
      <c r="I80" s="229">
        <f>+'Table 1'!I104:K104</f>
        <v>0</v>
      </c>
      <c r="J80" s="229">
        <f>+'Table 1'!J104:L104</f>
        <v>0</v>
      </c>
      <c r="K80" s="229">
        <f>+'Table 1'!K104:M104</f>
        <v>0</v>
      </c>
      <c r="L80" s="229">
        <f>+'Table 1'!L104:N104</f>
        <v>0</v>
      </c>
      <c r="M80" s="229">
        <f>+'Table 1'!M104:O104</f>
        <v>0</v>
      </c>
      <c r="N80" s="229">
        <f>+'Table 1'!N104:P104</f>
        <v>0</v>
      </c>
      <c r="O80" s="229">
        <f>+'Table 1'!O104:Q104</f>
        <v>0</v>
      </c>
      <c r="P80" s="229">
        <f>+'Table 1'!P104:R104</f>
        <v>0</v>
      </c>
      <c r="Q80" s="229">
        <f>+'Table 1'!Q104:S104</f>
        <v>0</v>
      </c>
      <c r="R80" s="229">
        <f>+'Table 1'!R104:T104</f>
        <v>0</v>
      </c>
      <c r="S80" s="229">
        <f>+'Table 1'!S104:U104</f>
        <v>1</v>
      </c>
      <c r="T80" s="229">
        <f>+'Table 1'!T104:V104</f>
        <v>0</v>
      </c>
      <c r="U80" s="229">
        <f>+'Table 1'!U104:W104</f>
        <v>0</v>
      </c>
      <c r="V80" s="229">
        <f>+'Table 1'!V104:X104</f>
        <v>1</v>
      </c>
      <c r="W80" s="229">
        <f>+'Table 1'!W104:Y104</f>
        <v>0</v>
      </c>
      <c r="X80" s="229">
        <f>+'Table 1'!X104:Z104</f>
        <v>0</v>
      </c>
      <c r="Y80" s="229">
        <f>+'Table 1'!Y104:AA104</f>
        <v>0</v>
      </c>
      <c r="Z80" s="229">
        <f>+'Table 1'!Z104:AB104</f>
        <v>0</v>
      </c>
      <c r="AB80" s="239">
        <f t="shared" si="17"/>
        <v>0</v>
      </c>
      <c r="AC80" s="239">
        <f t="shared" si="9"/>
        <v>0</v>
      </c>
      <c r="AD80" s="239">
        <f t="shared" si="10"/>
        <v>0</v>
      </c>
      <c r="AE80" s="239">
        <f t="shared" si="11"/>
        <v>0</v>
      </c>
      <c r="AF80" s="239">
        <f t="shared" si="12"/>
        <v>0</v>
      </c>
      <c r="AG80" s="239">
        <f t="shared" si="13"/>
        <v>0</v>
      </c>
      <c r="AH80" s="239"/>
      <c r="AI80" s="239"/>
      <c r="AJ80" s="239">
        <f t="shared" si="15"/>
        <v>0</v>
      </c>
      <c r="AK80" s="238">
        <f>+'Table 1'!Y104</f>
        <v>0</v>
      </c>
      <c r="AL80" s="20">
        <f t="shared" si="16"/>
        <v>0</v>
      </c>
    </row>
    <row r="81" spans="1:38" ht="27.6" x14ac:dyDescent="0.25">
      <c r="A81" s="228" t="str">
        <f>+'Table 1'!A105:C105</f>
        <v>Item No. 22:- Manufacturing, providing and
supplying tapers, "Y" connection with crotch plate,</v>
      </c>
      <c r="B81" s="229">
        <f>+'Table 1'!B105:D105</f>
        <v>0</v>
      </c>
      <c r="C81" s="229">
        <f>+'Table 1'!C105:E105</f>
        <v>0</v>
      </c>
      <c r="D81" s="229" t="str">
        <f>+'Table 1'!D105:F105</f>
        <v>kg</v>
      </c>
      <c r="E81" s="229">
        <f>+'Table 1'!E105:G105</f>
        <v>107.75</v>
      </c>
      <c r="F81" s="229">
        <f>+'Table 1'!F105:H105</f>
        <v>0</v>
      </c>
      <c r="G81" s="229">
        <f>+'Table 1'!G105:I105</f>
        <v>0</v>
      </c>
      <c r="H81" s="229">
        <f>+'Table 1'!H105:J105</f>
        <v>2616.85</v>
      </c>
      <c r="I81" s="229">
        <f>+'Table 1'!I105:K105</f>
        <v>2616.85</v>
      </c>
      <c r="J81" s="229">
        <f>+'Table 1'!J105:L105</f>
        <v>1130.5899999999999</v>
      </c>
      <c r="K81" s="229">
        <f>+'Table 1'!K105:M105</f>
        <v>1130.5900000000001</v>
      </c>
      <c r="L81" s="229">
        <f>+'Table 1'!L105:N105</f>
        <v>2579.8000000000002</v>
      </c>
      <c r="M81" s="229">
        <f>+'Table 1'!M105:O105</f>
        <v>2579.8000000000002</v>
      </c>
      <c r="N81" s="229">
        <f>+'Table 1'!N105:P105</f>
        <v>0</v>
      </c>
      <c r="O81" s="229">
        <f>+'Table 1'!O105:Q105</f>
        <v>0</v>
      </c>
      <c r="P81" s="229">
        <f>+'Table 1'!P105:R105</f>
        <v>1106.21</v>
      </c>
      <c r="Q81" s="229">
        <f>+'Table 1'!Q105:S105</f>
        <v>1106.21</v>
      </c>
      <c r="R81" s="229">
        <f>+'Table 1'!R105:T105</f>
        <v>0</v>
      </c>
      <c r="S81" s="229">
        <f>+'Table 1'!S105:U105</f>
        <v>0</v>
      </c>
      <c r="T81" s="229">
        <f>+'Table 1'!T105:V105</f>
        <v>0</v>
      </c>
      <c r="U81" s="229">
        <f>+'Table 1'!U105:W105</f>
        <v>0</v>
      </c>
      <c r="V81" s="229">
        <f>+'Table 1'!V105:X105</f>
        <v>7433.4500000000007</v>
      </c>
      <c r="W81" s="229">
        <f>+'Table 1'!W105:Y105</f>
        <v>800954.23750000005</v>
      </c>
      <c r="X81" s="229">
        <f>+'Table 1'!X105:Z105</f>
        <v>7433.4500000000007</v>
      </c>
      <c r="Y81" s="229">
        <f>+'Table 1'!Y105:AA105</f>
        <v>800954.23750000005</v>
      </c>
      <c r="Z81" s="229">
        <f>+'Table 1'!Z105:AB105</f>
        <v>0</v>
      </c>
      <c r="AB81" s="239">
        <f t="shared" si="17"/>
        <v>0</v>
      </c>
      <c r="AC81" s="239">
        <f t="shared" si="9"/>
        <v>281965.58749999997</v>
      </c>
      <c r="AD81" s="239">
        <f t="shared" si="10"/>
        <v>121821.07250000001</v>
      </c>
      <c r="AE81" s="239">
        <f t="shared" si="11"/>
        <v>277973.45</v>
      </c>
      <c r="AF81" s="239">
        <f t="shared" si="12"/>
        <v>0</v>
      </c>
      <c r="AG81" s="239">
        <f t="shared" si="13"/>
        <v>119194.1275</v>
      </c>
      <c r="AH81" s="239">
        <f t="shared" si="14"/>
        <v>0</v>
      </c>
      <c r="AI81" s="239"/>
      <c r="AJ81" s="239">
        <f t="shared" si="15"/>
        <v>800954.23750000005</v>
      </c>
      <c r="AK81" s="238">
        <f>+'Table 1'!Y105</f>
        <v>800954.23750000005</v>
      </c>
      <c r="AL81" s="20">
        <f t="shared" si="16"/>
        <v>0</v>
      </c>
    </row>
    <row r="82" spans="1:38" ht="27.6" x14ac:dyDescent="0.25">
      <c r="A82" s="228" t="str">
        <f>+'Table 1'!A106:C106</f>
        <v>Item No. 23:- Hydraulic testing of H. D. P. E. pipe
line to specified pressure including cost of all</v>
      </c>
      <c r="B82" s="229">
        <f>+'Table 1'!B106:D106</f>
        <v>0</v>
      </c>
      <c r="C82" s="229">
        <f>+'Table 1'!C106:E106</f>
        <v>0</v>
      </c>
      <c r="D82" s="229">
        <f>+'Table 1'!D106:F106</f>
        <v>0</v>
      </c>
      <c r="E82" s="229">
        <f>+'Table 1'!E106:G106</f>
        <v>0</v>
      </c>
      <c r="F82" s="229">
        <f>+'Table 1'!F106:H106</f>
        <v>0</v>
      </c>
      <c r="G82" s="229">
        <f>+'Table 1'!G106:I106</f>
        <v>0</v>
      </c>
      <c r="H82" s="229">
        <f>+'Table 1'!H106:J106</f>
        <v>0</v>
      </c>
      <c r="I82" s="229">
        <f>+'Table 1'!I106:K106</f>
        <v>0</v>
      </c>
      <c r="J82" s="229">
        <f>+'Table 1'!J106:L106</f>
        <v>0</v>
      </c>
      <c r="K82" s="229">
        <f>+'Table 1'!K106:M106</f>
        <v>0</v>
      </c>
      <c r="L82" s="229">
        <f>+'Table 1'!L106:N106</f>
        <v>0</v>
      </c>
      <c r="M82" s="229">
        <f>+'Table 1'!M106:O106</f>
        <v>0</v>
      </c>
      <c r="N82" s="229">
        <f>+'Table 1'!N106:P106</f>
        <v>0</v>
      </c>
      <c r="O82" s="229">
        <f>+'Table 1'!O106:Q106</f>
        <v>0</v>
      </c>
      <c r="P82" s="229">
        <f>+'Table 1'!P106:R106</f>
        <v>0</v>
      </c>
      <c r="Q82" s="229">
        <f>+'Table 1'!Q106:S106</f>
        <v>0</v>
      </c>
      <c r="R82" s="229">
        <f>+'Table 1'!R106:T106</f>
        <v>0</v>
      </c>
      <c r="S82" s="229">
        <f>+'Table 1'!S106:U106</f>
        <v>0</v>
      </c>
      <c r="T82" s="229">
        <f>+'Table 1'!T106:V106</f>
        <v>0</v>
      </c>
      <c r="U82" s="229">
        <f>+'Table 1'!U106:W106</f>
        <v>0</v>
      </c>
      <c r="V82" s="229">
        <f>+'Table 1'!V106:X106</f>
        <v>0</v>
      </c>
      <c r="W82" s="229">
        <f>+'Table 1'!W106:Y106</f>
        <v>0</v>
      </c>
      <c r="X82" s="229">
        <f>+'Table 1'!X106:Z106</f>
        <v>0</v>
      </c>
      <c r="Y82" s="229">
        <f>+'Table 1'!Y106:AA106</f>
        <v>0</v>
      </c>
      <c r="Z82" s="229">
        <f>+'Table 1'!Z106:AB106</f>
        <v>0</v>
      </c>
      <c r="AB82" s="239">
        <f t="shared" si="17"/>
        <v>0</v>
      </c>
      <c r="AC82" s="239">
        <f t="shared" si="9"/>
        <v>0</v>
      </c>
      <c r="AD82" s="239">
        <f t="shared" si="10"/>
        <v>0</v>
      </c>
      <c r="AE82" s="239">
        <f t="shared" si="11"/>
        <v>0</v>
      </c>
      <c r="AF82" s="239">
        <f t="shared" si="12"/>
        <v>0</v>
      </c>
      <c r="AG82" s="239">
        <f t="shared" si="13"/>
        <v>0</v>
      </c>
      <c r="AH82" s="239">
        <f t="shared" si="14"/>
        <v>0</v>
      </c>
      <c r="AI82" s="239"/>
      <c r="AJ82" s="239">
        <f t="shared" si="15"/>
        <v>0</v>
      </c>
      <c r="AK82" s="238">
        <f>+'Table 1'!Y106</f>
        <v>0</v>
      </c>
      <c r="AL82" s="20">
        <f t="shared" si="16"/>
        <v>0</v>
      </c>
    </row>
    <row r="83" spans="1:38" ht="15.6" x14ac:dyDescent="0.25">
      <c r="A83" s="228" t="str">
        <f>+'Table 1'!A107:C107</f>
        <v>a</v>
      </c>
      <c r="B83" s="229">
        <f>+'Table 1'!B107:D107</f>
        <v>110</v>
      </c>
      <c r="C83" s="229" t="str">
        <f>+'Table 1'!C107:E107</f>
        <v>mm</v>
      </c>
      <c r="D83" s="229" t="str">
        <f>+'Table 1'!D107:F107</f>
        <v>Km</v>
      </c>
      <c r="E83" s="229">
        <f>+'Table 1'!E107:G107</f>
        <v>7818.95</v>
      </c>
      <c r="F83" s="229">
        <f>+'Table 1'!F107:H107</f>
        <v>0.88</v>
      </c>
      <c r="G83" s="229">
        <f>+'Table 1'!G107:I107</f>
        <v>0</v>
      </c>
      <c r="H83" s="229">
        <f>+'Table 1'!H107:J107</f>
        <v>0</v>
      </c>
      <c r="I83" s="229">
        <f>+'Table 1'!I107:K107</f>
        <v>0</v>
      </c>
      <c r="J83" s="229">
        <f>+'Table 1'!J107:L107</f>
        <v>0.21</v>
      </c>
      <c r="K83" s="229">
        <f>+'Table 1'!K107:M107</f>
        <v>0</v>
      </c>
      <c r="L83" s="229">
        <f>+'Table 1'!L107:N107</f>
        <v>0</v>
      </c>
      <c r="M83" s="229">
        <f>+'Table 1'!M107:O107</f>
        <v>0</v>
      </c>
      <c r="N83" s="229">
        <f>+'Table 1'!N107:P107</f>
        <v>0</v>
      </c>
      <c r="O83" s="229">
        <f>+'Table 1'!O107:Q107</f>
        <v>0</v>
      </c>
      <c r="P83" s="229">
        <f>+'Table 1'!P107:R107</f>
        <v>0</v>
      </c>
      <c r="Q83" s="229">
        <f>+'Table 1'!Q107:S107</f>
        <v>0</v>
      </c>
      <c r="R83" s="229">
        <f>+'Table 1'!R107:T107</f>
        <v>0</v>
      </c>
      <c r="S83" s="229">
        <f>+'Table 1'!S107:U107</f>
        <v>0</v>
      </c>
      <c r="T83" s="229">
        <f>+'Table 1'!T107:V107</f>
        <v>0</v>
      </c>
      <c r="U83" s="229">
        <f>+'Table 1'!U107:W107</f>
        <v>0</v>
      </c>
      <c r="V83" s="229">
        <f>+'Table 1'!V107:X107</f>
        <v>1.0900000000000001</v>
      </c>
      <c r="W83" s="229">
        <f>+'Table 1'!W107:Y107</f>
        <v>8522.6555000000008</v>
      </c>
      <c r="X83" s="229">
        <f>+'Table 1'!X107:Z107</f>
        <v>0</v>
      </c>
      <c r="Y83" s="229">
        <f>+'Table 1'!Y107:AA107</f>
        <v>0</v>
      </c>
      <c r="Z83" s="229">
        <f>+'Table 1'!Z107:AB107</f>
        <v>-8522.6555000000008</v>
      </c>
      <c r="AB83" s="239">
        <f t="shared" si="17"/>
        <v>0</v>
      </c>
      <c r="AC83" s="239">
        <f t="shared" si="9"/>
        <v>0</v>
      </c>
      <c r="AD83" s="239">
        <f t="shared" si="10"/>
        <v>0</v>
      </c>
      <c r="AE83" s="239">
        <f t="shared" si="11"/>
        <v>0</v>
      </c>
      <c r="AF83" s="239">
        <f t="shared" si="12"/>
        <v>0</v>
      </c>
      <c r="AG83" s="239">
        <f t="shared" si="13"/>
        <v>0</v>
      </c>
      <c r="AH83" s="239">
        <f t="shared" si="14"/>
        <v>0</v>
      </c>
      <c r="AI83" s="239"/>
      <c r="AJ83" s="239">
        <f t="shared" si="15"/>
        <v>0</v>
      </c>
      <c r="AK83" s="238">
        <f>+'Table 1'!Y107</f>
        <v>0</v>
      </c>
      <c r="AL83" s="20">
        <f t="shared" si="16"/>
        <v>0</v>
      </c>
    </row>
    <row r="84" spans="1:38" ht="15.6" x14ac:dyDescent="0.25">
      <c r="A84" s="228" t="str">
        <f>+'Table 1'!A108:C108</f>
        <v>b</v>
      </c>
      <c r="B84" s="229">
        <f>+'Table 1'!B108:D108</f>
        <v>125</v>
      </c>
      <c r="C84" s="229" t="str">
        <f>+'Table 1'!C108:E108</f>
        <v>mm</v>
      </c>
      <c r="D84" s="229" t="str">
        <f>+'Table 1'!D108:F108</f>
        <v>Km</v>
      </c>
      <c r="E84" s="229">
        <f>+'Table 1'!E108:G108</f>
        <v>8021.3</v>
      </c>
      <c r="F84" s="229">
        <f>+'Table 1'!F108:H108</f>
        <v>1.54</v>
      </c>
      <c r="G84" s="229">
        <f>+'Table 1'!G108:I108</f>
        <v>0</v>
      </c>
      <c r="H84" s="229">
        <f>+'Table 1'!H108:J108</f>
        <v>0</v>
      </c>
      <c r="I84" s="229">
        <f>+'Table 1'!I108:K108</f>
        <v>0</v>
      </c>
      <c r="J84" s="229">
        <f>+'Table 1'!J108:L108</f>
        <v>2.2400000000000002</v>
      </c>
      <c r="K84" s="229">
        <f>+'Table 1'!K108:M108</f>
        <v>0</v>
      </c>
      <c r="L84" s="229">
        <f>+'Table 1'!L108:N108</f>
        <v>0.86</v>
      </c>
      <c r="M84" s="229">
        <f>+'Table 1'!M108:O108</f>
        <v>0.11600000000000001</v>
      </c>
      <c r="N84" s="229">
        <f>+'Table 1'!N108:P108</f>
        <v>0</v>
      </c>
      <c r="O84" s="229">
        <f>+'Table 1'!O108:Q108</f>
        <v>0</v>
      </c>
      <c r="P84" s="229">
        <f>+'Table 1'!P108:R108</f>
        <v>0</v>
      </c>
      <c r="Q84" s="229">
        <f>+'Table 1'!Q108:S108</f>
        <v>0</v>
      </c>
      <c r="R84" s="229">
        <f>+'Table 1'!R108:T108</f>
        <v>0</v>
      </c>
      <c r="S84" s="229">
        <f>+'Table 1'!S108:U108</f>
        <v>0</v>
      </c>
      <c r="T84" s="229">
        <f>+'Table 1'!T108:V108</f>
        <v>0</v>
      </c>
      <c r="U84" s="229">
        <f>+'Table 1'!U108:W108</f>
        <v>0</v>
      </c>
      <c r="V84" s="229">
        <f>+'Table 1'!V108:X108</f>
        <v>4.6400000000000006</v>
      </c>
      <c r="W84" s="229">
        <f>+'Table 1'!W108:Y108</f>
        <v>37218.832000000002</v>
      </c>
      <c r="X84" s="229">
        <f>+'Table 1'!X108:Z108</f>
        <v>0.11600000000000001</v>
      </c>
      <c r="Y84" s="229">
        <f>+'Table 1'!Y108:AA108</f>
        <v>930.47080000000005</v>
      </c>
      <c r="Z84" s="229">
        <f>+'Table 1'!Z108:AB108</f>
        <v>-36288.361199999999</v>
      </c>
      <c r="AB84" s="239">
        <f t="shared" si="17"/>
        <v>0</v>
      </c>
      <c r="AC84" s="239">
        <f t="shared" si="9"/>
        <v>0</v>
      </c>
      <c r="AD84" s="239">
        <f t="shared" si="10"/>
        <v>0</v>
      </c>
      <c r="AE84" s="239">
        <f t="shared" si="11"/>
        <v>930.47080000000005</v>
      </c>
      <c r="AF84" s="239">
        <f t="shared" si="12"/>
        <v>0</v>
      </c>
      <c r="AG84" s="239">
        <f t="shared" si="13"/>
        <v>0</v>
      </c>
      <c r="AH84" s="239">
        <f t="shared" si="14"/>
        <v>0</v>
      </c>
      <c r="AI84" s="239"/>
      <c r="AJ84" s="239">
        <f t="shared" si="15"/>
        <v>930.47080000000005</v>
      </c>
      <c r="AK84" s="238">
        <f>+'Table 1'!Y108</f>
        <v>930.47080000000005</v>
      </c>
      <c r="AL84" s="20">
        <f t="shared" si="16"/>
        <v>0</v>
      </c>
    </row>
    <row r="85" spans="1:38" ht="15.6" x14ac:dyDescent="0.25">
      <c r="A85" s="228" t="str">
        <f>+'Table 1'!A109:C109</f>
        <v>c</v>
      </c>
      <c r="B85" s="229">
        <f>+'Table 1'!B109:D109</f>
        <v>140</v>
      </c>
      <c r="C85" s="229" t="str">
        <f>+'Table 1'!C109:E109</f>
        <v>mm</v>
      </c>
      <c r="D85" s="229" t="str">
        <f>+'Table 1'!D109:F109</f>
        <v>Km</v>
      </c>
      <c r="E85" s="229">
        <f>+'Table 1'!E109:G109</f>
        <v>8643.4</v>
      </c>
      <c r="F85" s="229">
        <f>+'Table 1'!F109:H109</f>
        <v>0.33</v>
      </c>
      <c r="G85" s="229">
        <f>+'Table 1'!G109:I109</f>
        <v>1.2912999999999999</v>
      </c>
      <c r="H85" s="229">
        <f>+'Table 1'!H109:J109</f>
        <v>0.48</v>
      </c>
      <c r="I85" s="229">
        <f>+'Table 1'!I109:K109</f>
        <v>1.24</v>
      </c>
      <c r="J85" s="229">
        <f>+'Table 1'!J109:L109</f>
        <v>4.7300000000000004</v>
      </c>
      <c r="K85" s="229">
        <f>+'Table 1'!K109:M109</f>
        <v>6.1029999999999998</v>
      </c>
      <c r="L85" s="229">
        <f>+'Table 1'!L109:N109</f>
        <v>0.45</v>
      </c>
      <c r="M85" s="229">
        <f>+'Table 1'!M109:O109</f>
        <v>0.82899999999999996</v>
      </c>
      <c r="N85" s="229">
        <f>+'Table 1'!N109:P109</f>
        <v>3.21</v>
      </c>
      <c r="O85" s="229">
        <f>+'Table 1'!O109:Q109</f>
        <v>2.6890000000000001</v>
      </c>
      <c r="P85" s="229">
        <f>+'Table 1'!P109:R109</f>
        <v>6.66</v>
      </c>
      <c r="Q85" s="229">
        <f>+'Table 1'!Q109:S109</f>
        <v>7.21</v>
      </c>
      <c r="R85" s="229">
        <f>+'Table 1'!R109:T109</f>
        <v>0.59</v>
      </c>
      <c r="S85" s="229">
        <f>+'Table 1'!S109:U109</f>
        <v>1.827</v>
      </c>
      <c r="T85" s="229">
        <f>+'Table 1'!T109:V109</f>
        <v>0</v>
      </c>
      <c r="U85" s="229">
        <f>+'Table 1'!U109:W109</f>
        <v>0</v>
      </c>
      <c r="V85" s="229">
        <f>+'Table 1'!V109:X109</f>
        <v>16.45</v>
      </c>
      <c r="W85" s="229">
        <f>+'Table 1'!W109:Y109</f>
        <v>142183.93</v>
      </c>
      <c r="X85" s="229">
        <f>+'Table 1'!X109:Z109</f>
        <v>21.189299999999996</v>
      </c>
      <c r="Y85" s="229">
        <f>+'Table 1'!Y109:AA109</f>
        <v>183147.59561999995</v>
      </c>
      <c r="Z85" s="229">
        <f>+'Table 1'!Z109:AB109</f>
        <v>40963.665619999956</v>
      </c>
      <c r="AB85" s="239">
        <f t="shared" si="17"/>
        <v>11161.222419999998</v>
      </c>
      <c r="AC85" s="239">
        <f t="shared" si="9"/>
        <v>10717.815999999999</v>
      </c>
      <c r="AD85" s="239">
        <f t="shared" si="10"/>
        <v>52750.670199999993</v>
      </c>
      <c r="AE85" s="239">
        <f t="shared" si="11"/>
        <v>7165.3785999999991</v>
      </c>
      <c r="AF85" s="239">
        <f t="shared" si="12"/>
        <v>23242.102599999998</v>
      </c>
      <c r="AG85" s="239">
        <f t="shared" si="13"/>
        <v>62318.913999999997</v>
      </c>
      <c r="AH85" s="239">
        <f t="shared" si="14"/>
        <v>15791.4918</v>
      </c>
      <c r="AI85" s="239"/>
      <c r="AJ85" s="239">
        <f t="shared" si="15"/>
        <v>183147.59561999998</v>
      </c>
      <c r="AK85" s="238">
        <f>+'Table 1'!Y109</f>
        <v>183147.59561999995</v>
      </c>
      <c r="AL85" s="20">
        <f t="shared" si="16"/>
        <v>0</v>
      </c>
    </row>
    <row r="86" spans="1:38" ht="15.6" x14ac:dyDescent="0.25">
      <c r="A86" s="228" t="str">
        <f>+'Table 1'!A110:C110</f>
        <v>d</v>
      </c>
      <c r="B86" s="229">
        <f>+'Table 1'!B110:D110</f>
        <v>160</v>
      </c>
      <c r="C86" s="229" t="str">
        <f>+'Table 1'!C110:E110</f>
        <v>mm</v>
      </c>
      <c r="D86" s="229" t="str">
        <f>+'Table 1'!D110:F110</f>
        <v>Km</v>
      </c>
      <c r="E86" s="229">
        <f>+'Table 1'!E110:G110</f>
        <v>8976.2999999999993</v>
      </c>
      <c r="F86" s="229">
        <f>+'Table 1'!F110:H110</f>
        <v>0.66</v>
      </c>
      <c r="G86" s="229">
        <f>+'Table 1'!G110:I110</f>
        <v>0.17269000000000001</v>
      </c>
      <c r="H86" s="229">
        <f>+'Table 1'!H110:J110</f>
        <v>0.89</v>
      </c>
      <c r="I86" s="229">
        <f>+'Table 1'!I110:K110</f>
        <v>0</v>
      </c>
      <c r="J86" s="229">
        <f>+'Table 1'!J110:L110</f>
        <v>0.78</v>
      </c>
      <c r="K86" s="229">
        <f>+'Table 1'!K110:M110</f>
        <v>1.2569999999999999</v>
      </c>
      <c r="L86" s="229">
        <f>+'Table 1'!L110:N110</f>
        <v>0</v>
      </c>
      <c r="M86" s="229">
        <f>+'Table 1'!M110:O110</f>
        <v>0.64200000000000002</v>
      </c>
      <c r="N86" s="229">
        <f>+'Table 1'!N110:P110</f>
        <v>0.94</v>
      </c>
      <c r="O86" s="229">
        <f>+'Table 1'!O110:Q110</f>
        <v>0.76600000000000001</v>
      </c>
      <c r="P86" s="229">
        <f>+'Table 1'!P110:R110</f>
        <v>0.59</v>
      </c>
      <c r="Q86" s="229">
        <f>+'Table 1'!Q110:S110</f>
        <v>1.36</v>
      </c>
      <c r="R86" s="229">
        <f>+'Table 1'!R110:T110</f>
        <v>1.32</v>
      </c>
      <c r="S86" s="229">
        <f>+'Table 1'!S110:U110</f>
        <v>0.86599999999999999</v>
      </c>
      <c r="T86" s="229">
        <f>+'Table 1'!T110:V110</f>
        <v>0</v>
      </c>
      <c r="U86" s="229">
        <f>+'Table 1'!U110:W110</f>
        <v>0</v>
      </c>
      <c r="V86" s="229">
        <f>+'Table 1'!V110:X110</f>
        <v>5.18</v>
      </c>
      <c r="W86" s="229">
        <f>+'Table 1'!W110:Y110</f>
        <v>46497.233999999997</v>
      </c>
      <c r="X86" s="229">
        <f>+'Table 1'!X110:Z110</f>
        <v>5.0636900000000002</v>
      </c>
      <c r="Y86" s="229">
        <f>+'Table 1'!Y110:AA110</f>
        <v>45453.200547</v>
      </c>
      <c r="Z86" s="229">
        <f>+'Table 1'!Z110:AB110</f>
        <v>-1044.0334529999964</v>
      </c>
      <c r="AB86" s="239">
        <f t="shared" si="17"/>
        <v>1550.1172469999999</v>
      </c>
      <c r="AC86" s="239">
        <f t="shared" si="9"/>
        <v>0</v>
      </c>
      <c r="AD86" s="239">
        <f t="shared" si="10"/>
        <v>11283.209099999998</v>
      </c>
      <c r="AE86" s="239">
        <f t="shared" si="11"/>
        <v>5762.7846</v>
      </c>
      <c r="AF86" s="239">
        <f t="shared" si="12"/>
        <v>6875.8457999999991</v>
      </c>
      <c r="AG86" s="239">
        <f t="shared" si="13"/>
        <v>12207.768</v>
      </c>
      <c r="AH86" s="239">
        <f t="shared" si="14"/>
        <v>7773.4757999999993</v>
      </c>
      <c r="AI86" s="239"/>
      <c r="AJ86" s="239">
        <f t="shared" si="15"/>
        <v>45453.200547</v>
      </c>
      <c r="AK86" s="238">
        <f>+'Table 1'!Y110</f>
        <v>45453.200547</v>
      </c>
      <c r="AL86" s="20">
        <f t="shared" si="16"/>
        <v>0</v>
      </c>
    </row>
    <row r="87" spans="1:38" ht="15.6" x14ac:dyDescent="0.25">
      <c r="A87" s="228" t="str">
        <f>+'Table 1'!A111:C111</f>
        <v>e</v>
      </c>
      <c r="B87" s="229">
        <f>+'Table 1'!B111:D111</f>
        <v>180</v>
      </c>
      <c r="C87" s="229" t="str">
        <f>+'Table 1'!C111:E111</f>
        <v>mm</v>
      </c>
      <c r="D87" s="229" t="str">
        <f>+'Table 1'!D111:F111</f>
        <v>Km</v>
      </c>
      <c r="E87" s="229">
        <f>+'Table 1'!E111:G111</f>
        <v>9348.1</v>
      </c>
      <c r="F87" s="229">
        <f>+'Table 1'!F111:H111</f>
        <v>1.04</v>
      </c>
      <c r="G87" s="229">
        <f>+'Table 1'!G111:I111</f>
        <v>1.0670200000000001</v>
      </c>
      <c r="H87" s="229">
        <f>+'Table 1'!H111:J111</f>
        <v>0.47</v>
      </c>
      <c r="I87" s="229">
        <f>+'Table 1'!I111:K111</f>
        <v>0.36</v>
      </c>
      <c r="J87" s="229">
        <f>+'Table 1'!J111:L111</f>
        <v>0.99</v>
      </c>
      <c r="K87" s="229">
        <f>+'Table 1'!K111:M111</f>
        <v>1.4750000000000001</v>
      </c>
      <c r="L87" s="229">
        <f>+'Table 1'!L111:N111</f>
        <v>0.32</v>
      </c>
      <c r="M87" s="229">
        <f>+'Table 1'!M111:O111</f>
        <v>0</v>
      </c>
      <c r="N87" s="229">
        <f>+'Table 1'!N111:P111</f>
        <v>0.35</v>
      </c>
      <c r="O87" s="229">
        <f>+'Table 1'!O111:Q111</f>
        <v>0.22700000000000001</v>
      </c>
      <c r="P87" s="229">
        <f>+'Table 1'!P111:R111</f>
        <v>0.53</v>
      </c>
      <c r="Q87" s="229">
        <f>+'Table 1'!Q111:S111</f>
        <v>2.0099999999999998</v>
      </c>
      <c r="R87" s="229">
        <f>+'Table 1'!R111:T111</f>
        <v>0.11</v>
      </c>
      <c r="S87" s="229">
        <f>+'Table 1'!S111:U111</f>
        <v>0.2</v>
      </c>
      <c r="T87" s="229">
        <f>+'Table 1'!T111:V111</f>
        <v>0</v>
      </c>
      <c r="U87" s="229">
        <f>+'Table 1'!U111:W111</f>
        <v>0</v>
      </c>
      <c r="V87" s="229">
        <f>+'Table 1'!V111:X111</f>
        <v>3.8099999999999996</v>
      </c>
      <c r="W87" s="229">
        <f>+'Table 1'!W111:Y111</f>
        <v>35616.260999999999</v>
      </c>
      <c r="X87" s="229">
        <f>+'Table 1'!X111:Z111</f>
        <v>5.3390199999999997</v>
      </c>
      <c r="Y87" s="229">
        <f>+'Table 1'!Y111:AA111</f>
        <v>49909.692861999996</v>
      </c>
      <c r="Z87" s="229">
        <f>+'Table 1'!Z111:AB111</f>
        <v>14293.431861999998</v>
      </c>
      <c r="AB87" s="239">
        <f t="shared" si="17"/>
        <v>9974.6096620000008</v>
      </c>
      <c r="AC87" s="239">
        <f t="shared" si="9"/>
        <v>3365.3159999999998</v>
      </c>
      <c r="AD87" s="239">
        <f t="shared" si="10"/>
        <v>13788.447500000002</v>
      </c>
      <c r="AE87" s="239">
        <f t="shared" si="11"/>
        <v>0</v>
      </c>
      <c r="AF87" s="239">
        <f t="shared" si="12"/>
        <v>2122.0187000000001</v>
      </c>
      <c r="AG87" s="239">
        <f t="shared" si="13"/>
        <v>18789.681</v>
      </c>
      <c r="AH87" s="239">
        <f t="shared" si="14"/>
        <v>1869.6200000000001</v>
      </c>
      <c r="AI87" s="239"/>
      <c r="AJ87" s="239">
        <f t="shared" si="15"/>
        <v>49909.692862000004</v>
      </c>
      <c r="AK87" s="238">
        <f>+'Table 1'!Y111</f>
        <v>49909.692861999996</v>
      </c>
      <c r="AL87" s="20">
        <f t="shared" si="16"/>
        <v>0</v>
      </c>
    </row>
    <row r="88" spans="1:38" ht="15.6" x14ac:dyDescent="0.25">
      <c r="A88" s="228" t="str">
        <f>+'Table 1'!A112:C112</f>
        <v>f</v>
      </c>
      <c r="B88" s="229">
        <f>+'Table 1'!B112:D112</f>
        <v>200</v>
      </c>
      <c r="C88" s="229" t="str">
        <f>+'Table 1'!C112:E112</f>
        <v>mm</v>
      </c>
      <c r="D88" s="229" t="str">
        <f>+'Table 1'!D112:F112</f>
        <v>Km</v>
      </c>
      <c r="E88" s="229">
        <f>+'Table 1'!E112:G112</f>
        <v>9758.65</v>
      </c>
      <c r="F88" s="229">
        <f>+'Table 1'!F112:H112</f>
        <v>0.84</v>
      </c>
      <c r="G88" s="229">
        <f>+'Table 1'!G112:I112</f>
        <v>0.17085</v>
      </c>
      <c r="H88" s="229">
        <f>+'Table 1'!H112:J112</f>
        <v>0</v>
      </c>
      <c r="I88" s="229">
        <f>+'Table 1'!I112:K112</f>
        <v>0</v>
      </c>
      <c r="J88" s="229">
        <f>+'Table 1'!J112:L112</f>
        <v>0</v>
      </c>
      <c r="K88" s="229">
        <f>+'Table 1'!K112:M112</f>
        <v>0.372</v>
      </c>
      <c r="L88" s="229">
        <f>+'Table 1'!L112:N112</f>
        <v>0</v>
      </c>
      <c r="M88" s="229">
        <f>+'Table 1'!M112:O112</f>
        <v>9.4E-2</v>
      </c>
      <c r="N88" s="229">
        <f>+'Table 1'!N112:P112</f>
        <v>0.28999999999999998</v>
      </c>
      <c r="O88" s="229">
        <f>+'Table 1'!O112:Q112</f>
        <v>1.252</v>
      </c>
      <c r="P88" s="229">
        <f>+'Table 1'!P112:R112</f>
        <v>0.59</v>
      </c>
      <c r="Q88" s="229">
        <f>+'Table 1'!Q112:S112</f>
        <v>1.02</v>
      </c>
      <c r="R88" s="229">
        <f>+'Table 1'!R112:T112</f>
        <v>0.17</v>
      </c>
      <c r="S88" s="229">
        <f>+'Table 1'!S112:U112</f>
        <v>0.46100000000000002</v>
      </c>
      <c r="T88" s="229">
        <f>+'Table 1'!T112:V112</f>
        <v>0</v>
      </c>
      <c r="U88" s="229">
        <f>+'Table 1'!U112:W112</f>
        <v>0</v>
      </c>
      <c r="V88" s="229">
        <f>+'Table 1'!V112:X112</f>
        <v>1.8900000000000001</v>
      </c>
      <c r="W88" s="229">
        <f>+'Table 1'!W112:Y112</f>
        <v>18443.8485</v>
      </c>
      <c r="X88" s="229">
        <f>+'Table 1'!X112:Z112</f>
        <v>3.36985</v>
      </c>
      <c r="Y88" s="229">
        <f>+'Table 1'!Y112:AA112</f>
        <v>32885.186702499996</v>
      </c>
      <c r="Z88" s="229">
        <f>+'Table 1'!Z112:AB112</f>
        <v>14441.338202499996</v>
      </c>
      <c r="AB88" s="239">
        <f t="shared" si="17"/>
        <v>1667.2653525000001</v>
      </c>
      <c r="AC88" s="239">
        <f t="shared" si="9"/>
        <v>0</v>
      </c>
      <c r="AD88" s="239">
        <f t="shared" si="10"/>
        <v>3630.2177999999999</v>
      </c>
      <c r="AE88" s="239">
        <f t="shared" si="11"/>
        <v>917.31309999999996</v>
      </c>
      <c r="AF88" s="239">
        <f t="shared" si="12"/>
        <v>12217.8298</v>
      </c>
      <c r="AG88" s="239">
        <f t="shared" si="13"/>
        <v>9953.8230000000003</v>
      </c>
      <c r="AH88" s="239">
        <f t="shared" si="14"/>
        <v>4498.73765</v>
      </c>
      <c r="AI88" s="239"/>
      <c r="AJ88" s="239">
        <f t="shared" si="15"/>
        <v>32885.186702500003</v>
      </c>
      <c r="AK88" s="238">
        <f>+'Table 1'!Y112</f>
        <v>32885.186702499996</v>
      </c>
      <c r="AL88" s="20">
        <f t="shared" si="16"/>
        <v>0</v>
      </c>
    </row>
    <row r="89" spans="1:38" ht="15.6" x14ac:dyDescent="0.25">
      <c r="A89" s="228" t="str">
        <f>+'Table 1'!A113:C113</f>
        <v>g</v>
      </c>
      <c r="B89" s="229">
        <f>+'Table 1'!B113:D113</f>
        <v>225</v>
      </c>
      <c r="C89" s="229" t="str">
        <f>+'Table 1'!C113:E113</f>
        <v>mm</v>
      </c>
      <c r="D89" s="229" t="str">
        <f>+'Table 1'!D113:F113</f>
        <v>Km</v>
      </c>
      <c r="E89" s="229">
        <f>+'Table 1'!E113:G113</f>
        <v>10326.549999999999</v>
      </c>
      <c r="F89" s="229">
        <f>+'Table 1'!F113:H113</f>
        <v>0.26</v>
      </c>
      <c r="G89" s="229">
        <f>+'Table 1'!G113:I113</f>
        <v>0.11434999999999999</v>
      </c>
      <c r="H89" s="229">
        <f>+'Table 1'!H113:J113</f>
        <v>0</v>
      </c>
      <c r="I89" s="229">
        <f>+'Table 1'!I113:K113</f>
        <v>0.09</v>
      </c>
      <c r="J89" s="229">
        <f>+'Table 1'!J113:L113</f>
        <v>0.48</v>
      </c>
      <c r="K89" s="229">
        <f>+'Table 1'!K113:M113</f>
        <v>1.147</v>
      </c>
      <c r="L89" s="229">
        <f>+'Table 1'!L113:N113</f>
        <v>0</v>
      </c>
      <c r="M89" s="229">
        <f>+'Table 1'!M113:O113</f>
        <v>0</v>
      </c>
      <c r="N89" s="229">
        <f>+'Table 1'!N113:P113</f>
        <v>0</v>
      </c>
      <c r="O89" s="229">
        <f>+'Table 1'!O113:Q113</f>
        <v>0.50600000000000001</v>
      </c>
      <c r="P89" s="229">
        <f>+'Table 1'!P113:R113</f>
        <v>1.27</v>
      </c>
      <c r="Q89" s="229">
        <f>+'Table 1'!Q113:S113</f>
        <v>1.27</v>
      </c>
      <c r="R89" s="229">
        <f>+'Table 1'!R113:T113</f>
        <v>0.82</v>
      </c>
      <c r="S89" s="229">
        <f>+'Table 1'!S113:U113</f>
        <v>0</v>
      </c>
      <c r="T89" s="229">
        <f>+'Table 1'!T113:V113</f>
        <v>0</v>
      </c>
      <c r="U89" s="229">
        <f>+'Table 1'!U113:W113</f>
        <v>0</v>
      </c>
      <c r="V89" s="229">
        <f>+'Table 1'!V113:X113</f>
        <v>2.83</v>
      </c>
      <c r="W89" s="229">
        <f>+'Table 1'!W113:Y113</f>
        <v>29224.136499999997</v>
      </c>
      <c r="X89" s="229">
        <f>+'Table 1'!X113:Z113</f>
        <v>3.1273499999999999</v>
      </c>
      <c r="Y89" s="229">
        <f>+'Table 1'!Y113:AA113</f>
        <v>32294.736142499994</v>
      </c>
      <c r="Z89" s="229">
        <f>+'Table 1'!Z113:AB113</f>
        <v>3070.5996424999976</v>
      </c>
      <c r="AB89" s="239">
        <f t="shared" si="17"/>
        <v>1180.8409924999999</v>
      </c>
      <c r="AC89" s="239">
        <f t="shared" si="9"/>
        <v>929.38949999999988</v>
      </c>
      <c r="AD89" s="239">
        <f t="shared" si="10"/>
        <v>11844.55285</v>
      </c>
      <c r="AE89" s="239">
        <f t="shared" si="11"/>
        <v>0</v>
      </c>
      <c r="AF89" s="239">
        <f t="shared" si="12"/>
        <v>5225.2343000000001</v>
      </c>
      <c r="AG89" s="239">
        <f t="shared" si="13"/>
        <v>13114.718499999999</v>
      </c>
      <c r="AH89" s="239">
        <f t="shared" si="14"/>
        <v>0</v>
      </c>
      <c r="AI89" s="239"/>
      <c r="AJ89" s="239">
        <f t="shared" si="15"/>
        <v>32294.736142499998</v>
      </c>
      <c r="AK89" s="238">
        <f>+'Table 1'!Y113</f>
        <v>32294.736142499994</v>
      </c>
      <c r="AL89" s="20">
        <f t="shared" si="16"/>
        <v>0</v>
      </c>
    </row>
    <row r="90" spans="1:38" ht="15.6" x14ac:dyDescent="0.25">
      <c r="A90" s="228" t="str">
        <f>+'Table 1'!A114:C114</f>
        <v>h</v>
      </c>
      <c r="B90" s="229">
        <f>+'Table 1'!B114:D114</f>
        <v>250</v>
      </c>
      <c r="C90" s="229" t="str">
        <f>+'Table 1'!C114:E114</f>
        <v>mm</v>
      </c>
      <c r="D90" s="229" t="str">
        <f>+'Table 1'!D114:F114</f>
        <v>Km</v>
      </c>
      <c r="E90" s="229">
        <f>+'Table 1'!E114:G114</f>
        <v>10955.1</v>
      </c>
      <c r="F90" s="229">
        <f>+'Table 1'!F114:H114</f>
        <v>0.18</v>
      </c>
      <c r="G90" s="229">
        <f>+'Table 1'!G114:I114</f>
        <v>0.98566999999999994</v>
      </c>
      <c r="H90" s="229">
        <f>+'Table 1'!H114:J114</f>
        <v>0</v>
      </c>
      <c r="I90" s="229">
        <f>+'Table 1'!I114:K114</f>
        <v>0.47</v>
      </c>
      <c r="J90" s="229">
        <f>+'Table 1'!J114:L114</f>
        <v>0.13</v>
      </c>
      <c r="K90" s="229">
        <f>+'Table 1'!K114:M114</f>
        <v>0.21199999999999999</v>
      </c>
      <c r="L90" s="229">
        <f>+'Table 1'!L114:N114</f>
        <v>0.22</v>
      </c>
      <c r="M90" s="229">
        <f>+'Table 1'!M114:O114</f>
        <v>0.21099999999999999</v>
      </c>
      <c r="N90" s="229">
        <f>+'Table 1'!N114:P114</f>
        <v>0</v>
      </c>
      <c r="O90" s="229">
        <f>+'Table 1'!O114:Q114</f>
        <v>0.315</v>
      </c>
      <c r="P90" s="229">
        <f>+'Table 1'!P114:R114</f>
        <v>0.86</v>
      </c>
      <c r="Q90" s="229">
        <f>+'Table 1'!Q114:S114</f>
        <v>0.41</v>
      </c>
      <c r="R90" s="229">
        <f>+'Table 1'!R114:T114</f>
        <v>0.14000000000000001</v>
      </c>
      <c r="S90" s="229">
        <f>+'Table 1'!S114:U114</f>
        <v>0.29899999999999999</v>
      </c>
      <c r="T90" s="229">
        <f>+'Table 1'!T114:V114</f>
        <v>0</v>
      </c>
      <c r="U90" s="229">
        <f>+'Table 1'!U114:W114</f>
        <v>0</v>
      </c>
      <c r="V90" s="229">
        <f>+'Table 1'!V114:X114</f>
        <v>1.53</v>
      </c>
      <c r="W90" s="229">
        <f>+'Table 1'!W114:Y114</f>
        <v>16761.303</v>
      </c>
      <c r="X90" s="229">
        <f>+'Table 1'!X114:Z114</f>
        <v>2.9026699999999996</v>
      </c>
      <c r="Y90" s="229">
        <f>+'Table 1'!Y114:AA114</f>
        <v>31799.040116999997</v>
      </c>
      <c r="Z90" s="229">
        <f>+'Table 1'!Z114:AB114</f>
        <v>15037.737116999997</v>
      </c>
      <c r="AB90" s="239">
        <f t="shared" si="17"/>
        <v>10798.113417</v>
      </c>
      <c r="AC90" s="239">
        <f t="shared" si="9"/>
        <v>5148.8969999999999</v>
      </c>
      <c r="AD90" s="239">
        <f t="shared" si="10"/>
        <v>2322.4812000000002</v>
      </c>
      <c r="AE90" s="239">
        <f t="shared" si="11"/>
        <v>2311.5261</v>
      </c>
      <c r="AF90" s="239">
        <f t="shared" si="12"/>
        <v>3450.8565000000003</v>
      </c>
      <c r="AG90" s="239">
        <f t="shared" si="13"/>
        <v>4491.5909999999994</v>
      </c>
      <c r="AH90" s="239">
        <f t="shared" si="14"/>
        <v>3275.5749000000001</v>
      </c>
      <c r="AI90" s="239"/>
      <c r="AJ90" s="239">
        <f t="shared" si="15"/>
        <v>31799.040117</v>
      </c>
      <c r="AK90" s="238">
        <f>+'Table 1'!Y114</f>
        <v>31799.040116999997</v>
      </c>
      <c r="AL90" s="20">
        <f t="shared" si="16"/>
        <v>0</v>
      </c>
    </row>
    <row r="91" spans="1:38" ht="15.6" x14ac:dyDescent="0.25">
      <c r="A91" s="228" t="str">
        <f>+'Table 1'!A115:C115</f>
        <v>i</v>
      </c>
      <c r="B91" s="229">
        <f>+'Table 1'!B115:D115</f>
        <v>280</v>
      </c>
      <c r="C91" s="229" t="str">
        <f>+'Table 1'!C115:E115</f>
        <v>mm</v>
      </c>
      <c r="D91" s="229" t="str">
        <f>+'Table 1'!D115:F115</f>
        <v>Km</v>
      </c>
      <c r="E91" s="229">
        <f>+'Table 1'!E115:G115</f>
        <v>11789.45</v>
      </c>
      <c r="F91" s="229">
        <f>+'Table 1'!F115:H115</f>
        <v>0.23</v>
      </c>
      <c r="G91" s="229">
        <f>+'Table 1'!G115:I115</f>
        <v>0.15609000000000001</v>
      </c>
      <c r="H91" s="229">
        <f>+'Table 1'!H115:J115</f>
        <v>0.31</v>
      </c>
      <c r="I91" s="229">
        <f>+'Table 1'!I115:K115</f>
        <v>0.31</v>
      </c>
      <c r="J91" s="229">
        <f>+'Table 1'!J115:L115</f>
        <v>0.44</v>
      </c>
      <c r="K91" s="229">
        <f>+'Table 1'!K115:M115</f>
        <v>0.38800000000000001</v>
      </c>
      <c r="L91" s="229">
        <f>+'Table 1'!L115:N115</f>
        <v>0.14000000000000001</v>
      </c>
      <c r="M91" s="229">
        <f>+'Table 1'!M115:O115</f>
        <v>0.23200000000000001</v>
      </c>
      <c r="N91" s="229">
        <f>+'Table 1'!N115:P115</f>
        <v>0.24</v>
      </c>
      <c r="O91" s="229">
        <f>+'Table 1'!O115:Q115</f>
        <v>0.22600000000000001</v>
      </c>
      <c r="P91" s="229">
        <f>+'Table 1'!P115:R115</f>
        <v>1.04</v>
      </c>
      <c r="Q91" s="229">
        <f>+'Table 1'!Q115:S115</f>
        <v>0.71</v>
      </c>
      <c r="R91" s="229">
        <f>+'Table 1'!R115:T115</f>
        <v>0</v>
      </c>
      <c r="S91" s="229">
        <f>+'Table 1'!S115:U115</f>
        <v>0.23699999999999999</v>
      </c>
      <c r="T91" s="229">
        <f>+'Table 1'!T115:V115</f>
        <v>0</v>
      </c>
      <c r="U91" s="229">
        <f>+'Table 1'!U115:W115</f>
        <v>0</v>
      </c>
      <c r="V91" s="229">
        <f>+'Table 1'!V115:X115</f>
        <v>2.4</v>
      </c>
      <c r="W91" s="229">
        <f>+'Table 1'!W115:Y115</f>
        <v>28294.68</v>
      </c>
      <c r="X91" s="229">
        <f>+'Table 1'!X115:Z115</f>
        <v>2.25909</v>
      </c>
      <c r="Y91" s="229">
        <f>+'Table 1'!Y115:AA115</f>
        <v>26633.428600500003</v>
      </c>
      <c r="Z91" s="229">
        <f>+'Table 1'!Z115:AB115</f>
        <v>-1661.2513994999972</v>
      </c>
      <c r="AB91" s="239">
        <f t="shared" si="17"/>
        <v>1840.2152505000001</v>
      </c>
      <c r="AC91" s="239">
        <f t="shared" si="9"/>
        <v>3654.7295000000004</v>
      </c>
      <c r="AD91" s="239">
        <f t="shared" si="10"/>
        <v>4574.3066000000008</v>
      </c>
      <c r="AE91" s="239">
        <f t="shared" si="11"/>
        <v>2735.1524000000004</v>
      </c>
      <c r="AF91" s="239">
        <f t="shared" si="12"/>
        <v>2664.4157</v>
      </c>
      <c r="AG91" s="239">
        <f t="shared" si="13"/>
        <v>8370.5095000000001</v>
      </c>
      <c r="AH91" s="239">
        <f t="shared" si="14"/>
        <v>2794.0996500000001</v>
      </c>
      <c r="AI91" s="239"/>
      <c r="AJ91" s="239">
        <f t="shared" si="15"/>
        <v>26633.428600500003</v>
      </c>
      <c r="AK91" s="238">
        <f>+'Table 1'!Y115</f>
        <v>26633.428600500003</v>
      </c>
      <c r="AL91" s="20">
        <f t="shared" si="16"/>
        <v>0</v>
      </c>
    </row>
    <row r="92" spans="1:38" ht="15.6" x14ac:dyDescent="0.25">
      <c r="A92" s="228" t="str">
        <f>+'Table 1'!A116:C116</f>
        <v>j</v>
      </c>
      <c r="B92" s="229">
        <f>+'Table 1'!B116:D116</f>
        <v>315</v>
      </c>
      <c r="C92" s="229" t="str">
        <f>+'Table 1'!C116:E116</f>
        <v>mm</v>
      </c>
      <c r="D92" s="229" t="str">
        <f>+'Table 1'!D116:F116</f>
        <v>Km</v>
      </c>
      <c r="E92" s="229">
        <f>+'Table 1'!E116:G116</f>
        <v>13646.9</v>
      </c>
      <c r="F92" s="229">
        <f>+'Table 1'!F116:H116</f>
        <v>0</v>
      </c>
      <c r="G92" s="229">
        <f>+'Table 1'!G116:I116</f>
        <v>0</v>
      </c>
      <c r="H92" s="229">
        <f>+'Table 1'!H116:J116</f>
        <v>0</v>
      </c>
      <c r="I92" s="229">
        <f>+'Table 1'!I116:K116</f>
        <v>0</v>
      </c>
      <c r="J92" s="229">
        <f>+'Table 1'!J116:L116</f>
        <v>0.35</v>
      </c>
      <c r="K92" s="229">
        <f>+'Table 1'!K116:M116</f>
        <v>0.30199999999999999</v>
      </c>
      <c r="L92" s="229">
        <f>+'Table 1'!L116:N116</f>
        <v>0.61</v>
      </c>
      <c r="M92" s="229">
        <f>+'Table 1'!M116:O116</f>
        <v>0.16800000000000001</v>
      </c>
      <c r="N92" s="229">
        <f>+'Table 1'!N116:P116</f>
        <v>0</v>
      </c>
      <c r="O92" s="229">
        <f>+'Table 1'!O116:Q116</f>
        <v>0</v>
      </c>
      <c r="P92" s="229">
        <f>+'Table 1'!P116:R116</f>
        <v>1.43</v>
      </c>
      <c r="Q92" s="229">
        <f>+'Table 1'!Q116:S116</f>
        <v>1.4</v>
      </c>
      <c r="R92" s="229">
        <f>+'Table 1'!R116:T116</f>
        <v>0.12</v>
      </c>
      <c r="S92" s="229">
        <f>+'Table 1'!S116:U116</f>
        <v>0</v>
      </c>
      <c r="T92" s="229">
        <f>+'Table 1'!T116:V116</f>
        <v>0</v>
      </c>
      <c r="U92" s="229">
        <f>+'Table 1'!U116:W116</f>
        <v>0</v>
      </c>
      <c r="V92" s="229">
        <f>+'Table 1'!V116:X116</f>
        <v>2.5099999999999998</v>
      </c>
      <c r="W92" s="229">
        <f>+'Table 1'!W116:Y116</f>
        <v>34253.718999999997</v>
      </c>
      <c r="X92" s="229">
        <f>+'Table 1'!X116:Z116</f>
        <v>1.8699999999999999</v>
      </c>
      <c r="Y92" s="229">
        <f>+'Table 1'!Y116:AA116</f>
        <v>25519.702999999998</v>
      </c>
      <c r="Z92" s="229">
        <f>+'Table 1'!Z116:AB116</f>
        <v>-8734.0159999999996</v>
      </c>
      <c r="AB92" s="239">
        <f t="shared" si="17"/>
        <v>0</v>
      </c>
      <c r="AC92" s="239">
        <f t="shared" si="9"/>
        <v>0</v>
      </c>
      <c r="AD92" s="239">
        <f t="shared" si="10"/>
        <v>4121.3638000000001</v>
      </c>
      <c r="AE92" s="239">
        <f t="shared" si="11"/>
        <v>2292.6792</v>
      </c>
      <c r="AF92" s="239">
        <f t="shared" si="12"/>
        <v>0</v>
      </c>
      <c r="AG92" s="239">
        <f t="shared" si="13"/>
        <v>19105.66</v>
      </c>
      <c r="AH92" s="239">
        <f t="shared" si="14"/>
        <v>0</v>
      </c>
      <c r="AI92" s="239"/>
      <c r="AJ92" s="239">
        <f t="shared" si="15"/>
        <v>25519.703000000001</v>
      </c>
      <c r="AK92" s="238">
        <f>+'Table 1'!Y116</f>
        <v>25519.702999999998</v>
      </c>
      <c r="AL92" s="20">
        <f t="shared" si="16"/>
        <v>0</v>
      </c>
    </row>
    <row r="93" spans="1:38" ht="15.6" x14ac:dyDescent="0.25">
      <c r="A93" s="228" t="str">
        <f>+'Table 1'!A117:C117</f>
        <v>k</v>
      </c>
      <c r="B93" s="229">
        <f>+'Table 1'!B117:D117</f>
        <v>355</v>
      </c>
      <c r="C93" s="229" t="str">
        <f>+'Table 1'!C117:E117</f>
        <v>mm</v>
      </c>
      <c r="D93" s="229" t="str">
        <f>+'Table 1'!D117:F117</f>
        <v>Km</v>
      </c>
      <c r="E93" s="229">
        <f>+'Table 1'!E117:G117</f>
        <v>16566.25</v>
      </c>
      <c r="F93" s="229">
        <f>+'Table 1'!F117:H117</f>
        <v>0.38</v>
      </c>
      <c r="G93" s="229">
        <f>+'Table 1'!G117:I117</f>
        <v>0.23</v>
      </c>
      <c r="H93" s="229">
        <f>+'Table 1'!H117:J117</f>
        <v>0</v>
      </c>
      <c r="I93" s="229">
        <f>+'Table 1'!I117:K117</f>
        <v>0</v>
      </c>
      <c r="J93" s="229">
        <f>+'Table 1'!J117:L117</f>
        <v>0.56000000000000005</v>
      </c>
      <c r="K93" s="229">
        <f>+'Table 1'!K117:M117</f>
        <v>0.9</v>
      </c>
      <c r="L93" s="229">
        <f>+'Table 1'!L117:N117</f>
        <v>0.88</v>
      </c>
      <c r="M93" s="229">
        <f>+'Table 1'!M117:O117</f>
        <v>1.1200000000000001</v>
      </c>
      <c r="N93" s="229">
        <f>+'Table 1'!N117:P117</f>
        <v>0.14000000000000001</v>
      </c>
      <c r="O93" s="229">
        <f>+'Table 1'!O117:Q117</f>
        <v>0.33</v>
      </c>
      <c r="P93" s="229">
        <f>+'Table 1'!P117:R117</f>
        <v>0.24</v>
      </c>
      <c r="Q93" s="229">
        <f>+'Table 1'!Q117:S117</f>
        <v>2.41</v>
      </c>
      <c r="R93" s="229">
        <f>+'Table 1'!R117:T117</f>
        <v>0</v>
      </c>
      <c r="S93" s="229">
        <f>+'Table 1'!S117:U117</f>
        <v>0</v>
      </c>
      <c r="T93" s="229">
        <f>+'Table 1'!T117:V117</f>
        <v>0</v>
      </c>
      <c r="U93" s="229">
        <f>+'Table 1'!U117:W117</f>
        <v>0</v>
      </c>
      <c r="V93" s="229">
        <f>+'Table 1'!V117:X117</f>
        <v>2.2000000000000002</v>
      </c>
      <c r="W93" s="229">
        <f>+'Table 1'!W117:Y117</f>
        <v>36445.75</v>
      </c>
      <c r="X93" s="229">
        <f>+'Table 1'!X117:Z117</f>
        <v>4.9900000000000011</v>
      </c>
      <c r="Y93" s="229">
        <f>+'Table 1'!Y117:AA117</f>
        <v>82665.587500000023</v>
      </c>
      <c r="Z93" s="229">
        <f>+'Table 1'!Z117:AB117</f>
        <v>46219.837500000023</v>
      </c>
      <c r="AB93" s="239">
        <f t="shared" si="17"/>
        <v>3810.2375000000002</v>
      </c>
      <c r="AC93" s="239">
        <f t="shared" si="9"/>
        <v>0</v>
      </c>
      <c r="AD93" s="239">
        <f t="shared" si="10"/>
        <v>14909.625</v>
      </c>
      <c r="AE93" s="239">
        <f t="shared" si="11"/>
        <v>18554.2</v>
      </c>
      <c r="AF93" s="239">
        <f t="shared" si="12"/>
        <v>5466.8625000000002</v>
      </c>
      <c r="AG93" s="239">
        <f t="shared" si="13"/>
        <v>39924.662500000006</v>
      </c>
      <c r="AH93" s="239">
        <f t="shared" si="14"/>
        <v>0</v>
      </c>
      <c r="AI93" s="239"/>
      <c r="AJ93" s="239">
        <f t="shared" si="15"/>
        <v>82665.587500000009</v>
      </c>
      <c r="AK93" s="238">
        <f>+'Table 1'!Y117</f>
        <v>82665.587500000023</v>
      </c>
      <c r="AL93" s="20">
        <f t="shared" si="16"/>
        <v>0</v>
      </c>
    </row>
    <row r="94" spans="1:38" ht="15.6" x14ac:dyDescent="0.25">
      <c r="A94" s="228" t="str">
        <f>+'Table 1'!A118:C118</f>
        <v>l</v>
      </c>
      <c r="B94" s="229">
        <f>+'Table 1'!B118:D118</f>
        <v>400</v>
      </c>
      <c r="C94" s="229" t="str">
        <f>+'Table 1'!C118:E118</f>
        <v>mm</v>
      </c>
      <c r="D94" s="229" t="str">
        <f>+'Table 1'!D118:F118</f>
        <v>Km</v>
      </c>
      <c r="E94" s="229">
        <f>+'Table 1'!E118:G118</f>
        <v>20106.25</v>
      </c>
      <c r="F94" s="229">
        <f>+'Table 1'!F118:H118</f>
        <v>0</v>
      </c>
      <c r="G94" s="229">
        <f>+'Table 1'!G118:I118</f>
        <v>0</v>
      </c>
      <c r="H94" s="229">
        <f>+'Table 1'!H118:J118</f>
        <v>0</v>
      </c>
      <c r="I94" s="229">
        <f>+'Table 1'!I118:K118</f>
        <v>0</v>
      </c>
      <c r="J94" s="229">
        <f>+'Table 1'!J118:L118</f>
        <v>0.91</v>
      </c>
      <c r="K94" s="229">
        <f>+'Table 1'!K118:M118</f>
        <v>0</v>
      </c>
      <c r="L94" s="229">
        <f>+'Table 1'!L118:N118</f>
        <v>0</v>
      </c>
      <c r="M94" s="229">
        <f>+'Table 1'!M118:O118</f>
        <v>0</v>
      </c>
      <c r="N94" s="229">
        <f>+'Table 1'!N118:P118</f>
        <v>0.13</v>
      </c>
      <c r="O94" s="229">
        <f>+'Table 1'!O118:Q118</f>
        <v>0.27</v>
      </c>
      <c r="P94" s="229">
        <f>+'Table 1'!P118:R118</f>
        <v>0.55000000000000004</v>
      </c>
      <c r="Q94" s="229">
        <f>+'Table 1'!Q118:S118</f>
        <v>0.39</v>
      </c>
      <c r="R94" s="229">
        <f>+'Table 1'!R118:T118</f>
        <v>0.48</v>
      </c>
      <c r="S94" s="229">
        <f>+'Table 1'!S118:U118</f>
        <v>0</v>
      </c>
      <c r="T94" s="229">
        <f>+'Table 1'!T118:V118</f>
        <v>0</v>
      </c>
      <c r="U94" s="229">
        <f>+'Table 1'!U118:W118</f>
        <v>0</v>
      </c>
      <c r="V94" s="229">
        <f>+'Table 1'!V118:X118</f>
        <v>2.0700000000000003</v>
      </c>
      <c r="W94" s="229">
        <f>+'Table 1'!W118:Y118</f>
        <v>41619.937500000007</v>
      </c>
      <c r="X94" s="229">
        <f>+'Table 1'!X118:Z118</f>
        <v>0.66</v>
      </c>
      <c r="Y94" s="229">
        <f>+'Table 1'!Y118:AA118</f>
        <v>13270.125</v>
      </c>
      <c r="Z94" s="229">
        <f>+'Table 1'!Z118:AB118</f>
        <v>-28349.812500000007</v>
      </c>
      <c r="AB94" s="239">
        <f t="shared" si="17"/>
        <v>0</v>
      </c>
      <c r="AC94" s="239">
        <f t="shared" si="9"/>
        <v>0</v>
      </c>
      <c r="AD94" s="239">
        <f t="shared" si="10"/>
        <v>0</v>
      </c>
      <c r="AE94" s="239">
        <f t="shared" si="11"/>
        <v>0</v>
      </c>
      <c r="AF94" s="239">
        <f t="shared" si="12"/>
        <v>5428.6875</v>
      </c>
      <c r="AG94" s="239">
        <f t="shared" si="13"/>
        <v>7841.4375</v>
      </c>
      <c r="AH94" s="239">
        <f t="shared" si="14"/>
        <v>0</v>
      </c>
      <c r="AI94" s="239"/>
      <c r="AJ94" s="239">
        <f t="shared" si="15"/>
        <v>13270.125</v>
      </c>
      <c r="AK94" s="238">
        <f>+'Table 1'!Y118</f>
        <v>13270.125</v>
      </c>
      <c r="AL94" s="20">
        <f t="shared" si="16"/>
        <v>0</v>
      </c>
    </row>
    <row r="95" spans="1:38" ht="15.6" x14ac:dyDescent="0.25">
      <c r="A95" s="228" t="str">
        <f>+'Table 1'!A119:C119</f>
        <v>m</v>
      </c>
      <c r="B95" s="229">
        <f>+'Table 1'!B119:D119</f>
        <v>450</v>
      </c>
      <c r="C95" s="229" t="str">
        <f>+'Table 1'!C119:E119</f>
        <v>mm</v>
      </c>
      <c r="D95" s="229" t="str">
        <f>+'Table 1'!D119:F119</f>
        <v>Km</v>
      </c>
      <c r="E95" s="229">
        <f>+'Table 1'!E119:G119</f>
        <v>23986.05</v>
      </c>
      <c r="F95" s="229">
        <f>+'Table 1'!F119:H119</f>
        <v>0</v>
      </c>
      <c r="G95" s="229">
        <f>+'Table 1'!G119:I119</f>
        <v>0.5</v>
      </c>
      <c r="H95" s="229">
        <f>+'Table 1'!H119:J119</f>
        <v>0</v>
      </c>
      <c r="I95" s="229">
        <f>+'Table 1'!I119:K119</f>
        <v>0</v>
      </c>
      <c r="J95" s="229">
        <f>+'Table 1'!J119:L119</f>
        <v>0</v>
      </c>
      <c r="K95" s="229">
        <f>+'Table 1'!K119:M119</f>
        <v>0.44</v>
      </c>
      <c r="L95" s="229">
        <f>+'Table 1'!L119:N119</f>
        <v>0</v>
      </c>
      <c r="M95" s="229">
        <f>+'Table 1'!M119:O119</f>
        <v>0</v>
      </c>
      <c r="N95" s="229">
        <f>+'Table 1'!N119:P119</f>
        <v>0.33</v>
      </c>
      <c r="O95" s="229">
        <f>+'Table 1'!O119:Q119</f>
        <v>0</v>
      </c>
      <c r="P95" s="229">
        <f>+'Table 1'!P119:R119</f>
        <v>1.01</v>
      </c>
      <c r="Q95" s="229">
        <f>+'Table 1'!Q119:S119</f>
        <v>0.21</v>
      </c>
      <c r="R95" s="229">
        <f>+'Table 1'!R119:T119</f>
        <v>0</v>
      </c>
      <c r="S95" s="229">
        <f>+'Table 1'!S119:U119</f>
        <v>0.31</v>
      </c>
      <c r="T95" s="229">
        <f>+'Table 1'!T119:V119</f>
        <v>0</v>
      </c>
      <c r="U95" s="229">
        <f>+'Table 1'!U119:W119</f>
        <v>0</v>
      </c>
      <c r="V95" s="229">
        <f>+'Table 1'!V119:X119</f>
        <v>1.34</v>
      </c>
      <c r="W95" s="229">
        <f>+'Table 1'!W119:Y119</f>
        <v>32141.307000000001</v>
      </c>
      <c r="X95" s="229">
        <f>+'Table 1'!X119:Z119</f>
        <v>1.46</v>
      </c>
      <c r="Y95" s="229">
        <f>+'Table 1'!Y119:AA119</f>
        <v>35019.633000000002</v>
      </c>
      <c r="Z95" s="229">
        <f>+'Table 1'!Z119:AB119</f>
        <v>2878.3260000000009</v>
      </c>
      <c r="AB95" s="239">
        <f t="shared" si="17"/>
        <v>11993.025</v>
      </c>
      <c r="AC95" s="239">
        <f t="shared" si="9"/>
        <v>0</v>
      </c>
      <c r="AD95" s="239">
        <f t="shared" si="10"/>
        <v>10553.861999999999</v>
      </c>
      <c r="AE95" s="239">
        <f t="shared" si="11"/>
        <v>0</v>
      </c>
      <c r="AF95" s="239">
        <f t="shared" si="12"/>
        <v>0</v>
      </c>
      <c r="AG95" s="239">
        <f t="shared" si="13"/>
        <v>5037.0704999999998</v>
      </c>
      <c r="AH95" s="239">
        <f t="shared" si="14"/>
        <v>7435.6754999999994</v>
      </c>
      <c r="AI95" s="239"/>
      <c r="AJ95" s="239">
        <f t="shared" si="15"/>
        <v>35019.632999999994</v>
      </c>
      <c r="AK95" s="238">
        <f>+'Table 1'!Y119</f>
        <v>35019.633000000002</v>
      </c>
      <c r="AL95" s="20">
        <f t="shared" si="16"/>
        <v>0</v>
      </c>
    </row>
    <row r="96" spans="1:38" ht="15.6" x14ac:dyDescent="0.25">
      <c r="A96" s="228" t="str">
        <f>+'Table 1'!A120:C120</f>
        <v>n</v>
      </c>
      <c r="B96" s="229">
        <f>+'Table 1'!B120:D120</f>
        <v>500</v>
      </c>
      <c r="C96" s="229" t="str">
        <f>+'Table 1'!C120:E120</f>
        <v>mm</v>
      </c>
      <c r="D96" s="229" t="str">
        <f>+'Table 1'!D120:F120</f>
        <v>Km</v>
      </c>
      <c r="E96" s="229">
        <f>+'Table 1'!E120:G120</f>
        <v>28108.55</v>
      </c>
      <c r="F96" s="229">
        <f>+'Table 1'!F120:H120</f>
        <v>0.94</v>
      </c>
      <c r="G96" s="229">
        <f>+'Table 1'!G120:I120</f>
        <v>0.16</v>
      </c>
      <c r="H96" s="229">
        <f>+'Table 1'!H120:J120</f>
        <v>0</v>
      </c>
      <c r="I96" s="229">
        <f>+'Table 1'!I120:K120</f>
        <v>0</v>
      </c>
      <c r="J96" s="229">
        <f>+'Table 1'!J120:L120</f>
        <v>0.92</v>
      </c>
      <c r="K96" s="229">
        <f>+'Table 1'!K120:M120</f>
        <v>0.75</v>
      </c>
      <c r="L96" s="229">
        <f>+'Table 1'!L120:N120</f>
        <v>0</v>
      </c>
      <c r="M96" s="229">
        <f>+'Table 1'!M120:O120</f>
        <v>0</v>
      </c>
      <c r="N96" s="229">
        <f>+'Table 1'!N120:P120</f>
        <v>0</v>
      </c>
      <c r="O96" s="229">
        <f>+'Table 1'!O120:Q120</f>
        <v>0.25</v>
      </c>
      <c r="P96" s="229">
        <f>+'Table 1'!P120:R120</f>
        <v>1.53</v>
      </c>
      <c r="Q96" s="229">
        <f>+'Table 1'!Q120:S120</f>
        <v>0.38</v>
      </c>
      <c r="R96" s="229">
        <f>+'Table 1'!R120:T120</f>
        <v>0.28999999999999998</v>
      </c>
      <c r="S96" s="229">
        <f>+'Table 1'!S120:U120</f>
        <v>0.63</v>
      </c>
      <c r="T96" s="229">
        <f>+'Table 1'!T120:V120</f>
        <v>0</v>
      </c>
      <c r="U96" s="229">
        <f>+'Table 1'!U120:W120</f>
        <v>0</v>
      </c>
      <c r="V96" s="229">
        <f>+'Table 1'!V120:X120</f>
        <v>3.68</v>
      </c>
      <c r="W96" s="229">
        <f>+'Table 1'!W120:Y120</f>
        <v>103439.46400000001</v>
      </c>
      <c r="X96" s="229">
        <f>+'Table 1'!X120:Z120</f>
        <v>2.17</v>
      </c>
      <c r="Y96" s="229">
        <f>+'Table 1'!Y120:AA120</f>
        <v>60995.553499999995</v>
      </c>
      <c r="Z96" s="229">
        <f>+'Table 1'!Z120:AB120</f>
        <v>-42443.910500000013</v>
      </c>
      <c r="AB96" s="239">
        <f t="shared" si="17"/>
        <v>4497.3680000000004</v>
      </c>
      <c r="AC96" s="239">
        <f t="shared" si="9"/>
        <v>0</v>
      </c>
      <c r="AD96" s="239">
        <f t="shared" si="10"/>
        <v>21081.412499999999</v>
      </c>
      <c r="AE96" s="239">
        <f t="shared" si="11"/>
        <v>0</v>
      </c>
      <c r="AF96" s="239">
        <f t="shared" si="12"/>
        <v>7027.1374999999998</v>
      </c>
      <c r="AG96" s="239">
        <f t="shared" si="13"/>
        <v>10681.249</v>
      </c>
      <c r="AH96" s="239">
        <f t="shared" si="14"/>
        <v>17708.386500000001</v>
      </c>
      <c r="AI96" s="239"/>
      <c r="AJ96" s="239">
        <f t="shared" si="15"/>
        <v>60995.553500000002</v>
      </c>
      <c r="AK96" s="238">
        <f>+'Table 1'!Y120</f>
        <v>60995.553499999995</v>
      </c>
      <c r="AL96" s="20">
        <f t="shared" si="16"/>
        <v>0</v>
      </c>
    </row>
    <row r="97" spans="1:38" ht="15.6" x14ac:dyDescent="0.25">
      <c r="A97" s="228" t="str">
        <f>+'Table 1'!A121:C121</f>
        <v>o</v>
      </c>
      <c r="B97" s="229">
        <f>+'Table 1'!B121:D121</f>
        <v>560</v>
      </c>
      <c r="C97" s="229" t="str">
        <f>+'Table 1'!C121:E121</f>
        <v>mm</v>
      </c>
      <c r="D97" s="229" t="str">
        <f>+'Table 1'!D121:F121</f>
        <v>Km</v>
      </c>
      <c r="E97" s="229">
        <f>+'Table 1'!E121:G121</f>
        <v>31320.85</v>
      </c>
      <c r="F97" s="229">
        <f>+'Table 1'!F121:H121</f>
        <v>0</v>
      </c>
      <c r="G97" s="229">
        <f>+'Table 1'!G121:I121</f>
        <v>1.37</v>
      </c>
      <c r="H97" s="229">
        <f>+'Table 1'!H121:J121</f>
        <v>0</v>
      </c>
      <c r="I97" s="229">
        <f>+'Table 1'!I121:K121</f>
        <v>0</v>
      </c>
      <c r="J97" s="229">
        <f>+'Table 1'!J121:L121</f>
        <v>0.96</v>
      </c>
      <c r="K97" s="229">
        <f>+'Table 1'!K121:M121</f>
        <v>0.79</v>
      </c>
      <c r="L97" s="229">
        <f>+'Table 1'!L121:N121</f>
        <v>0</v>
      </c>
      <c r="M97" s="229">
        <f>+'Table 1'!M121:O121</f>
        <v>0</v>
      </c>
      <c r="N97" s="229">
        <f>+'Table 1'!N121:P121</f>
        <v>0</v>
      </c>
      <c r="O97" s="229">
        <f>+'Table 1'!O121:Q121</f>
        <v>0.43</v>
      </c>
      <c r="P97" s="229">
        <f>+'Table 1'!P121:R121</f>
        <v>0</v>
      </c>
      <c r="Q97" s="229">
        <f>+'Table 1'!Q121:S121</f>
        <v>0.25</v>
      </c>
      <c r="R97" s="229">
        <f>+'Table 1'!R121:T121</f>
        <v>0.97</v>
      </c>
      <c r="S97" s="229">
        <f>+'Table 1'!S121:U121</f>
        <v>0.17</v>
      </c>
      <c r="T97" s="229">
        <f>+'Table 1'!T121:V121</f>
        <v>0</v>
      </c>
      <c r="U97" s="229">
        <f>+'Table 1'!U121:W121</f>
        <v>0</v>
      </c>
      <c r="V97" s="229">
        <f>+'Table 1'!V121:X121</f>
        <v>1.93</v>
      </c>
      <c r="W97" s="229">
        <f>+'Table 1'!W121:Y121</f>
        <v>60449.240499999993</v>
      </c>
      <c r="X97" s="229">
        <f>+'Table 1'!X121:Z121</f>
        <v>3.01</v>
      </c>
      <c r="Y97" s="229">
        <f>+'Table 1'!Y121:AA121</f>
        <v>94275.758499999982</v>
      </c>
      <c r="Z97" s="229">
        <f>+'Table 1'!Z121:AB121</f>
        <v>33826.517999999989</v>
      </c>
      <c r="AB97" s="239">
        <f t="shared" si="17"/>
        <v>42909.5645</v>
      </c>
      <c r="AC97" s="239">
        <f t="shared" si="9"/>
        <v>0</v>
      </c>
      <c r="AD97" s="239">
        <f t="shared" si="10"/>
        <v>24743.4715</v>
      </c>
      <c r="AE97" s="239">
        <f t="shared" si="11"/>
        <v>0</v>
      </c>
      <c r="AF97" s="239">
        <f t="shared" si="12"/>
        <v>13467.965499999998</v>
      </c>
      <c r="AG97" s="239">
        <f t="shared" si="13"/>
        <v>7830.2124999999996</v>
      </c>
      <c r="AH97" s="239">
        <f t="shared" si="14"/>
        <v>5324.5445</v>
      </c>
      <c r="AI97" s="239"/>
      <c r="AJ97" s="239">
        <f t="shared" si="15"/>
        <v>94275.758499999982</v>
      </c>
      <c r="AK97" s="238">
        <f>+'Table 1'!Y121</f>
        <v>94275.758499999982</v>
      </c>
      <c r="AL97" s="20">
        <f t="shared" si="16"/>
        <v>0</v>
      </c>
    </row>
    <row r="98" spans="1:38" ht="15.6" x14ac:dyDescent="0.25">
      <c r="A98" s="228" t="str">
        <f>+'Table 1'!A122:C122</f>
        <v>p</v>
      </c>
      <c r="B98" s="229">
        <f>+'Table 1'!B122:D122</f>
        <v>630</v>
      </c>
      <c r="C98" s="229" t="str">
        <f>+'Table 1'!C122:E122</f>
        <v>mm</v>
      </c>
      <c r="D98" s="229" t="str">
        <f>+'Table 1'!D122:F122</f>
        <v>Km</v>
      </c>
      <c r="E98" s="229">
        <f>+'Table 1'!E122:G122</f>
        <v>35108.400000000001</v>
      </c>
      <c r="F98" s="229">
        <f>+'Table 1'!F122:H122</f>
        <v>0.44</v>
      </c>
      <c r="G98" s="229">
        <f>+'Table 1'!G122:I122</f>
        <v>0.11</v>
      </c>
      <c r="H98" s="229">
        <f>+'Table 1'!H122:J122</f>
        <v>0</v>
      </c>
      <c r="I98" s="229">
        <f>+'Table 1'!I122:K122</f>
        <v>0</v>
      </c>
      <c r="J98" s="229">
        <f>+'Table 1'!J122:L122</f>
        <v>1.17</v>
      </c>
      <c r="K98" s="229">
        <f>+'Table 1'!K122:M122</f>
        <v>0.52</v>
      </c>
      <c r="L98" s="229">
        <f>+'Table 1'!L122:N122</f>
        <v>0</v>
      </c>
      <c r="M98" s="229">
        <f>+'Table 1'!M122:O122</f>
        <v>0</v>
      </c>
      <c r="N98" s="229">
        <f>+'Table 1'!N122:P122</f>
        <v>1.53</v>
      </c>
      <c r="O98" s="229">
        <f>+'Table 1'!O122:Q122</f>
        <v>0.64</v>
      </c>
      <c r="P98" s="229">
        <f>+'Table 1'!P122:R122</f>
        <v>0</v>
      </c>
      <c r="Q98" s="229">
        <f>+'Table 1'!Q122:S122</f>
        <v>0</v>
      </c>
      <c r="R98" s="229">
        <f>+'Table 1'!R122:T122</f>
        <v>0</v>
      </c>
      <c r="S98" s="229">
        <f>+'Table 1'!S122:U122</f>
        <v>0.52</v>
      </c>
      <c r="T98" s="229">
        <f>+'Table 1'!T122:V122</f>
        <v>0</v>
      </c>
      <c r="U98" s="229">
        <f>+'Table 1'!U122:W122</f>
        <v>0</v>
      </c>
      <c r="V98" s="229">
        <f>+'Table 1'!V122:X122</f>
        <v>3.14</v>
      </c>
      <c r="W98" s="229">
        <f>+'Table 1'!W122:Y122</f>
        <v>110240.376</v>
      </c>
      <c r="X98" s="229">
        <f>+'Table 1'!X122:Z122</f>
        <v>1.7900000000000003</v>
      </c>
      <c r="Y98" s="229">
        <f>+'Table 1'!Y122:AA122</f>
        <v>62844.036000000015</v>
      </c>
      <c r="Z98" s="229">
        <f>+'Table 1'!Z122:AB122</f>
        <v>-47396.339999999989</v>
      </c>
      <c r="AB98" s="239">
        <f t="shared" si="17"/>
        <v>3861.924</v>
      </c>
      <c r="AC98" s="239">
        <f t="shared" si="9"/>
        <v>0</v>
      </c>
      <c r="AD98" s="239">
        <f t="shared" si="10"/>
        <v>18256.368000000002</v>
      </c>
      <c r="AE98" s="239">
        <f t="shared" si="11"/>
        <v>0</v>
      </c>
      <c r="AF98" s="239">
        <f t="shared" si="12"/>
        <v>22469.376</v>
      </c>
      <c r="AG98" s="239">
        <f t="shared" si="13"/>
        <v>0</v>
      </c>
      <c r="AH98" s="239">
        <f t="shared" si="14"/>
        <v>18256.368000000002</v>
      </c>
      <c r="AI98" s="239"/>
      <c r="AJ98" s="239">
        <f t="shared" si="15"/>
        <v>62844.036000000007</v>
      </c>
      <c r="AK98" s="238">
        <f>+'Table 1'!Y122</f>
        <v>62844.036000000015</v>
      </c>
      <c r="AL98" s="20">
        <f t="shared" si="16"/>
        <v>0</v>
      </c>
    </row>
    <row r="99" spans="1:38" ht="15.6" x14ac:dyDescent="0.25">
      <c r="A99" s="228" t="str">
        <f>+'Table 1'!A123:C123</f>
        <v>q</v>
      </c>
      <c r="B99" s="229">
        <f>+'Table 1'!B123:D123</f>
        <v>710</v>
      </c>
      <c r="C99" s="229" t="str">
        <f>+'Table 1'!C123:E123</f>
        <v>mm</v>
      </c>
      <c r="D99" s="229" t="str">
        <f>+'Table 1'!D123:F123</f>
        <v>Km</v>
      </c>
      <c r="E99" s="229">
        <f>+'Table 1'!E123:G123</f>
        <v>40353.800000000003</v>
      </c>
      <c r="F99" s="229">
        <f>+'Table 1'!F123:H123</f>
        <v>0</v>
      </c>
      <c r="G99" s="229">
        <f>+'Table 1'!G123:I123</f>
        <v>0</v>
      </c>
      <c r="H99" s="229">
        <f>+'Table 1'!H123:J123</f>
        <v>0</v>
      </c>
      <c r="I99" s="229">
        <f>+'Table 1'!I123:K123</f>
        <v>0</v>
      </c>
      <c r="J99" s="229">
        <f>+'Table 1'!J123:L123</f>
        <v>1.54</v>
      </c>
      <c r="K99" s="229">
        <f>+'Table 1'!K123:M123</f>
        <v>1.33</v>
      </c>
      <c r="L99" s="229">
        <f>+'Table 1'!L123:N123</f>
        <v>0</v>
      </c>
      <c r="M99" s="229">
        <f>+'Table 1'!M123:O123</f>
        <v>0</v>
      </c>
      <c r="N99" s="229">
        <f>+'Table 1'!N123:P123</f>
        <v>0</v>
      </c>
      <c r="O99" s="229">
        <f>+'Table 1'!O123:Q123</f>
        <v>0</v>
      </c>
      <c r="P99" s="229">
        <f>+'Table 1'!P123:R123</f>
        <v>0</v>
      </c>
      <c r="Q99" s="229">
        <f>+'Table 1'!Q123:S123</f>
        <v>0.32</v>
      </c>
      <c r="R99" s="229">
        <f>+'Table 1'!R123:T123</f>
        <v>0.62</v>
      </c>
      <c r="S99" s="229">
        <f>+'Table 1'!S123:U123</f>
        <v>0.18</v>
      </c>
      <c r="T99" s="229">
        <f>+'Table 1'!T123:V123</f>
        <v>0</v>
      </c>
      <c r="U99" s="229">
        <f>+'Table 1'!U123:W123</f>
        <v>0</v>
      </c>
      <c r="V99" s="229">
        <f>+'Table 1'!V123:X123</f>
        <v>2.16</v>
      </c>
      <c r="W99" s="229">
        <f>+'Table 1'!W123:Y123</f>
        <v>87164.208000000013</v>
      </c>
      <c r="X99" s="229">
        <f>+'Table 1'!X123:Z123</f>
        <v>1.83</v>
      </c>
      <c r="Y99" s="229">
        <f>+'Table 1'!Y123:AA123</f>
        <v>73847.454000000012</v>
      </c>
      <c r="Z99" s="229">
        <f>+'Table 1'!Z123:AB123</f>
        <v>-13316.754000000001</v>
      </c>
      <c r="AB99" s="239">
        <f t="shared" si="17"/>
        <v>0</v>
      </c>
      <c r="AC99" s="239">
        <f t="shared" si="9"/>
        <v>0</v>
      </c>
      <c r="AD99" s="239">
        <f t="shared" si="10"/>
        <v>53670.554000000004</v>
      </c>
      <c r="AE99" s="239">
        <f t="shared" si="11"/>
        <v>0</v>
      </c>
      <c r="AF99" s="239">
        <f t="shared" si="12"/>
        <v>0</v>
      </c>
      <c r="AG99" s="239">
        <f t="shared" si="13"/>
        <v>12913.216</v>
      </c>
      <c r="AH99" s="239">
        <f t="shared" si="14"/>
        <v>7263.6840000000002</v>
      </c>
      <c r="AI99" s="239"/>
      <c r="AJ99" s="239">
        <f t="shared" si="15"/>
        <v>73847.453999999998</v>
      </c>
      <c r="AK99" s="238">
        <f>+'Table 1'!Y123</f>
        <v>73847.454000000012</v>
      </c>
      <c r="AL99" s="20">
        <f t="shared" si="16"/>
        <v>0</v>
      </c>
    </row>
    <row r="100" spans="1:38" ht="15.6" x14ac:dyDescent="0.25">
      <c r="A100" s="228" t="str">
        <f>+'Table 1'!A124:C124</f>
        <v>r</v>
      </c>
      <c r="B100" s="229">
        <f>+'Table 1'!B124:D124</f>
        <v>800</v>
      </c>
      <c r="C100" s="229" t="str">
        <f>+'Table 1'!C124:E124</f>
        <v>mm</v>
      </c>
      <c r="D100" s="229" t="str">
        <f>+'Table 1'!D124:F124</f>
        <v>Km</v>
      </c>
      <c r="E100" s="229">
        <f>+'Table 1'!E124:G124</f>
        <v>46997.45</v>
      </c>
      <c r="F100" s="229">
        <f>+'Table 1'!F124:H124</f>
        <v>0</v>
      </c>
      <c r="G100" s="229">
        <f>+'Table 1'!G124:I124</f>
        <v>0</v>
      </c>
      <c r="H100" s="229">
        <f>+'Table 1'!H124:J124</f>
        <v>0</v>
      </c>
      <c r="I100" s="229">
        <f>+'Table 1'!I124:K124</f>
        <v>0</v>
      </c>
      <c r="J100" s="229">
        <f>+'Table 1'!J124:L124</f>
        <v>0.52</v>
      </c>
      <c r="K100" s="229">
        <f>+'Table 1'!K124:M124</f>
        <v>1.05</v>
      </c>
      <c r="L100" s="229">
        <f>+'Table 1'!L124:N124</f>
        <v>0</v>
      </c>
      <c r="M100" s="229">
        <f>+'Table 1'!M124:O124</f>
        <v>0</v>
      </c>
      <c r="N100" s="229">
        <f>+'Table 1'!N124:P124</f>
        <v>0</v>
      </c>
      <c r="O100" s="229">
        <f>+'Table 1'!O124:Q124</f>
        <v>0</v>
      </c>
      <c r="P100" s="229">
        <f>+'Table 1'!P124:R124</f>
        <v>0.54</v>
      </c>
      <c r="Q100" s="229">
        <f>+'Table 1'!Q124:S124</f>
        <v>0.54</v>
      </c>
      <c r="R100" s="229">
        <f>+'Table 1'!R124:T124</f>
        <v>0</v>
      </c>
      <c r="S100" s="229">
        <f>+'Table 1'!S124:U124</f>
        <v>0</v>
      </c>
      <c r="T100" s="229">
        <f>+'Table 1'!T124:V124</f>
        <v>0</v>
      </c>
      <c r="U100" s="229">
        <f>+'Table 1'!U124:W124</f>
        <v>0</v>
      </c>
      <c r="V100" s="229">
        <f>+'Table 1'!V124:X124</f>
        <v>1.06</v>
      </c>
      <c r="W100" s="229">
        <f>+'Table 1'!W124:Y124</f>
        <v>49817.296999999999</v>
      </c>
      <c r="X100" s="229">
        <f>+'Table 1'!X124:Z124</f>
        <v>1.59</v>
      </c>
      <c r="Y100" s="229">
        <f>+'Table 1'!Y124:AA124</f>
        <v>74725.945500000002</v>
      </c>
      <c r="Z100" s="229">
        <f>+'Table 1'!Z124:AB124</f>
        <v>24908.648500000003</v>
      </c>
      <c r="AB100" s="239">
        <f t="shared" si="17"/>
        <v>0</v>
      </c>
      <c r="AC100" s="239">
        <f t="shared" si="9"/>
        <v>0</v>
      </c>
      <c r="AD100" s="239">
        <f t="shared" si="10"/>
        <v>49347.322500000002</v>
      </c>
      <c r="AE100" s="239">
        <f t="shared" si="11"/>
        <v>0</v>
      </c>
      <c r="AF100" s="239">
        <f t="shared" si="12"/>
        <v>0</v>
      </c>
      <c r="AG100" s="239">
        <f t="shared" si="13"/>
        <v>25378.623</v>
      </c>
      <c r="AH100" s="239">
        <f t="shared" si="14"/>
        <v>0</v>
      </c>
      <c r="AI100" s="239"/>
      <c r="AJ100" s="239">
        <f t="shared" si="15"/>
        <v>74725.945500000002</v>
      </c>
      <c r="AK100" s="238">
        <f>+'Table 1'!Y124</f>
        <v>74725.945500000002</v>
      </c>
      <c r="AL100" s="20">
        <f t="shared" si="16"/>
        <v>0</v>
      </c>
    </row>
    <row r="101" spans="1:38" ht="27.6" x14ac:dyDescent="0.25">
      <c r="A101" s="228" t="str">
        <f>+'Table 1'!A125:C125</f>
        <v>Item No. 24:- Hydraulic testing of Pre-Stressed
Cement Concrete Pipes with rubber ring joints to</v>
      </c>
      <c r="B101" s="229">
        <f>+'Table 1'!B125:D125</f>
        <v>0</v>
      </c>
      <c r="C101" s="229">
        <f>+'Table 1'!C125:E125</f>
        <v>0</v>
      </c>
      <c r="D101" s="229">
        <f>+'Table 1'!D125:F125</f>
        <v>0</v>
      </c>
      <c r="E101" s="229">
        <f>+'Table 1'!E125:G125</f>
        <v>0</v>
      </c>
      <c r="F101" s="229">
        <f>+'Table 1'!F125:H125</f>
        <v>0</v>
      </c>
      <c r="G101" s="229">
        <f>+'Table 1'!G125:I125</f>
        <v>0</v>
      </c>
      <c r="H101" s="229">
        <f>+'Table 1'!H125:J125</f>
        <v>0</v>
      </c>
      <c r="I101" s="229">
        <f>+'Table 1'!I125:K125</f>
        <v>0</v>
      </c>
      <c r="J101" s="229">
        <f>+'Table 1'!J125:L125</f>
        <v>0</v>
      </c>
      <c r="K101" s="229">
        <f>+'Table 1'!K125:M125</f>
        <v>0</v>
      </c>
      <c r="L101" s="229">
        <f>+'Table 1'!L125:N125</f>
        <v>0</v>
      </c>
      <c r="M101" s="229">
        <f>+'Table 1'!M125:O125</f>
        <v>0</v>
      </c>
      <c r="N101" s="229">
        <f>+'Table 1'!N125:P125</f>
        <v>0</v>
      </c>
      <c r="O101" s="229">
        <f>+'Table 1'!O125:Q125</f>
        <v>0</v>
      </c>
      <c r="P101" s="229">
        <f>+'Table 1'!P125:R125</f>
        <v>0</v>
      </c>
      <c r="Q101" s="229">
        <f>+'Table 1'!Q125:S125</f>
        <v>0</v>
      </c>
      <c r="R101" s="229">
        <f>+'Table 1'!R125:T125</f>
        <v>0</v>
      </c>
      <c r="S101" s="229">
        <f>+'Table 1'!S125:U125</f>
        <v>0</v>
      </c>
      <c r="T101" s="229">
        <f>+'Table 1'!T125:V125</f>
        <v>0</v>
      </c>
      <c r="U101" s="229">
        <f>+'Table 1'!U125:W125</f>
        <v>0</v>
      </c>
      <c r="V101" s="229">
        <f>+'Table 1'!V125:X125</f>
        <v>0</v>
      </c>
      <c r="W101" s="229">
        <f>+'Table 1'!W125:Y125</f>
        <v>0</v>
      </c>
      <c r="X101" s="229">
        <f>+'Table 1'!X125:Z125</f>
        <v>0</v>
      </c>
      <c r="Y101" s="229">
        <f>+'Table 1'!Y125:AA125</f>
        <v>0</v>
      </c>
      <c r="Z101" s="229">
        <f>+'Table 1'!Z125:AB125</f>
        <v>0</v>
      </c>
      <c r="AB101" s="239">
        <f t="shared" si="17"/>
        <v>0</v>
      </c>
      <c r="AC101" s="239">
        <f t="shared" si="9"/>
        <v>0</v>
      </c>
      <c r="AD101" s="239">
        <f t="shared" si="10"/>
        <v>0</v>
      </c>
      <c r="AE101" s="239">
        <f t="shared" si="11"/>
        <v>0</v>
      </c>
      <c r="AF101" s="239">
        <f t="shared" si="12"/>
        <v>0</v>
      </c>
      <c r="AG101" s="239">
        <f t="shared" si="13"/>
        <v>0</v>
      </c>
      <c r="AH101" s="239">
        <f t="shared" si="14"/>
        <v>0</v>
      </c>
      <c r="AI101" s="239"/>
      <c r="AJ101" s="239">
        <f t="shared" si="15"/>
        <v>0</v>
      </c>
      <c r="AK101" s="238">
        <f>+'Table 1'!Y125</f>
        <v>0</v>
      </c>
      <c r="AL101" s="20">
        <f t="shared" si="16"/>
        <v>0</v>
      </c>
    </row>
    <row r="102" spans="1:38" ht="15.6" x14ac:dyDescent="0.25">
      <c r="A102" s="228" t="str">
        <f>+'Table 1'!A126:C126</f>
        <v>a</v>
      </c>
      <c r="B102" s="229">
        <f>+'Table 1'!B126:D126</f>
        <v>900</v>
      </c>
      <c r="C102" s="229" t="str">
        <f>+'Table 1'!C126:E126</f>
        <v>mm</v>
      </c>
      <c r="D102" s="229" t="str">
        <f>+'Table 1'!D126:F126</f>
        <v>Km</v>
      </c>
      <c r="E102" s="229">
        <f>+'Table 1'!E126:G126</f>
        <v>55275.6</v>
      </c>
      <c r="F102" s="229">
        <f>+'Table 1'!F126:H126</f>
        <v>0</v>
      </c>
      <c r="G102" s="229">
        <f>+'Table 1'!G126:I126</f>
        <v>0</v>
      </c>
      <c r="H102" s="229">
        <f>+'Table 1'!H126:J126</f>
        <v>0</v>
      </c>
      <c r="I102" s="229">
        <f>+'Table 1'!I126:K126</f>
        <v>0</v>
      </c>
      <c r="J102" s="229">
        <f>+'Table 1'!J126:L126</f>
        <v>0.72</v>
      </c>
      <c r="K102" s="229">
        <f>+'Table 1'!K126:M126</f>
        <v>0.52</v>
      </c>
      <c r="L102" s="229">
        <f>+'Table 1'!L126:N126</f>
        <v>0</v>
      </c>
      <c r="M102" s="229">
        <f>+'Table 1'!M126:O126</f>
        <v>0</v>
      </c>
      <c r="N102" s="229">
        <f>+'Table 1'!N126:P126</f>
        <v>0</v>
      </c>
      <c r="O102" s="229">
        <f>+'Table 1'!O126:Q126</f>
        <v>0</v>
      </c>
      <c r="P102" s="229">
        <f>+'Table 1'!P126:R126</f>
        <v>0.84</v>
      </c>
      <c r="Q102" s="229">
        <f>+'Table 1'!Q126:S126</f>
        <v>0.56999999999999995</v>
      </c>
      <c r="R102" s="229">
        <f>+'Table 1'!R126:T126</f>
        <v>0</v>
      </c>
      <c r="S102" s="229">
        <f>+'Table 1'!S126:U126</f>
        <v>0</v>
      </c>
      <c r="T102" s="229">
        <f>+'Table 1'!T126:V126</f>
        <v>0</v>
      </c>
      <c r="U102" s="229">
        <f>+'Table 1'!U126:W126</f>
        <v>0</v>
      </c>
      <c r="V102" s="229">
        <f>+'Table 1'!V126:X126</f>
        <v>1.56</v>
      </c>
      <c r="W102" s="229">
        <f>+'Table 1'!W126:Y126</f>
        <v>86229.936000000002</v>
      </c>
      <c r="X102" s="229">
        <f>+'Table 1'!X126:Z126</f>
        <v>1.0899999999999999</v>
      </c>
      <c r="Y102" s="229">
        <f>+'Table 1'!Y126:AA126</f>
        <v>60250.403999999988</v>
      </c>
      <c r="Z102" s="229">
        <f>+'Table 1'!Z126:AB126</f>
        <v>-25979.532000000014</v>
      </c>
      <c r="AB102" s="239">
        <f t="shared" si="17"/>
        <v>0</v>
      </c>
      <c r="AC102" s="239">
        <f t="shared" si="9"/>
        <v>0</v>
      </c>
      <c r="AD102" s="239">
        <f t="shared" si="10"/>
        <v>28743.312000000002</v>
      </c>
      <c r="AE102" s="239">
        <f t="shared" si="11"/>
        <v>0</v>
      </c>
      <c r="AF102" s="239">
        <f t="shared" si="12"/>
        <v>0</v>
      </c>
      <c r="AG102" s="239">
        <f t="shared" si="13"/>
        <v>31507.091999999997</v>
      </c>
      <c r="AH102" s="239">
        <f t="shared" si="14"/>
        <v>0</v>
      </c>
      <c r="AI102" s="239"/>
      <c r="AJ102" s="239">
        <f t="shared" si="15"/>
        <v>60250.403999999995</v>
      </c>
      <c r="AK102" s="238">
        <f>+'Table 1'!Y126</f>
        <v>60250.403999999988</v>
      </c>
      <c r="AL102" s="20">
        <f t="shared" si="16"/>
        <v>0</v>
      </c>
    </row>
    <row r="103" spans="1:38" ht="27.6" x14ac:dyDescent="0.25">
      <c r="A103" s="228" t="str">
        <f>+'Table 1'!A127:C127</f>
        <v>Item No. 25:-Providing, Laying, Jointing, Painting &amp;
Identification Numbering to R.C.C. pipe of 1200</v>
      </c>
      <c r="B103" s="229">
        <f>+'Table 1'!B127:D127</f>
        <v>0</v>
      </c>
      <c r="C103" s="229">
        <f>+'Table 1'!C127:E127</f>
        <v>0</v>
      </c>
      <c r="D103" s="229">
        <f>+'Table 1'!D127:F127</f>
        <v>0</v>
      </c>
      <c r="E103" s="229">
        <f>+'Table 1'!E127:G127</f>
        <v>0</v>
      </c>
      <c r="F103" s="229">
        <f>+'Table 1'!F127:H127</f>
        <v>0</v>
      </c>
      <c r="G103" s="229">
        <f>+'Table 1'!G127:I127</f>
        <v>0</v>
      </c>
      <c r="H103" s="229">
        <f>+'Table 1'!H127:J127</f>
        <v>0</v>
      </c>
      <c r="I103" s="229">
        <f>+'Table 1'!I127:K127</f>
        <v>0</v>
      </c>
      <c r="J103" s="229">
        <f>+'Table 1'!J127:L127</f>
        <v>0</v>
      </c>
      <c r="K103" s="229">
        <f>+'Table 1'!K127:M127</f>
        <v>0</v>
      </c>
      <c r="L103" s="229">
        <f>+'Table 1'!L127:N127</f>
        <v>0</v>
      </c>
      <c r="M103" s="229">
        <f>+'Table 1'!M127:O127</f>
        <v>0</v>
      </c>
      <c r="N103" s="229">
        <f>+'Table 1'!N127:P127</f>
        <v>0</v>
      </c>
      <c r="O103" s="229">
        <f>+'Table 1'!O127:Q127</f>
        <v>0</v>
      </c>
      <c r="P103" s="229">
        <f>+'Table 1'!P127:R127</f>
        <v>0</v>
      </c>
      <c r="Q103" s="229">
        <f>+'Table 1'!Q127:S127</f>
        <v>0</v>
      </c>
      <c r="R103" s="229">
        <f>+'Table 1'!R127:T127</f>
        <v>0</v>
      </c>
      <c r="S103" s="229">
        <f>+'Table 1'!S127:U127</f>
        <v>0</v>
      </c>
      <c r="T103" s="229">
        <f>+'Table 1'!T127:V127</f>
        <v>0</v>
      </c>
      <c r="U103" s="229">
        <f>+'Table 1'!U127:W127</f>
        <v>0</v>
      </c>
      <c r="V103" s="229">
        <f>+'Table 1'!V127:X127</f>
        <v>0</v>
      </c>
      <c r="W103" s="229">
        <f>+'Table 1'!W127:Y127</f>
        <v>0</v>
      </c>
      <c r="X103" s="229">
        <f>+'Table 1'!X127:Z127</f>
        <v>0</v>
      </c>
      <c r="Y103" s="229">
        <f>+'Table 1'!Y127:AA127</f>
        <v>0</v>
      </c>
      <c r="Z103" s="229">
        <f>+'Table 1'!Z127:AB127</f>
        <v>0</v>
      </c>
      <c r="AB103" s="239">
        <f t="shared" si="17"/>
        <v>0</v>
      </c>
      <c r="AC103" s="239">
        <f t="shared" si="9"/>
        <v>0</v>
      </c>
      <c r="AD103" s="239">
        <f t="shared" si="10"/>
        <v>0</v>
      </c>
      <c r="AE103" s="239">
        <f t="shared" si="11"/>
        <v>0</v>
      </c>
      <c r="AF103" s="239">
        <f t="shared" si="12"/>
        <v>0</v>
      </c>
      <c r="AG103" s="239">
        <f t="shared" si="13"/>
        <v>0</v>
      </c>
      <c r="AH103" s="239">
        <f t="shared" si="14"/>
        <v>0</v>
      </c>
      <c r="AI103" s="239"/>
      <c r="AJ103" s="239">
        <f t="shared" si="15"/>
        <v>0</v>
      </c>
      <c r="AK103" s="238">
        <f>+'Table 1'!Y127</f>
        <v>0</v>
      </c>
      <c r="AL103" s="20">
        <f t="shared" si="16"/>
        <v>0</v>
      </c>
    </row>
    <row r="104" spans="1:38" ht="15.6" x14ac:dyDescent="0.25">
      <c r="A104" s="228" t="str">
        <f>+'Table 1'!A128:C128</f>
        <v>T Joint chambers</v>
      </c>
      <c r="B104" s="229">
        <f>+'Table 1'!B128:D128</f>
        <v>0</v>
      </c>
      <c r="C104" s="229">
        <f>+'Table 1'!C128:E128</f>
        <v>0</v>
      </c>
      <c r="D104" s="229" t="str">
        <f>+'Table 1'!D128:F128</f>
        <v>Rmt</v>
      </c>
      <c r="E104" s="229">
        <f>+'Table 1'!E128:G128</f>
        <v>10349.450000000001</v>
      </c>
      <c r="F104" s="229">
        <f>+'Table 1'!F128:H128</f>
        <v>42.5</v>
      </c>
      <c r="G104" s="229">
        <f>+'Table 1'!G128:I128</f>
        <v>42.5</v>
      </c>
      <c r="H104" s="229">
        <f>+'Table 1'!H128:J128</f>
        <v>12.5</v>
      </c>
      <c r="I104" s="229">
        <f>+'Table 1'!I128:K128</f>
        <v>12.5</v>
      </c>
      <c r="J104" s="229">
        <f>+'Table 1'!J128:L128</f>
        <v>112.5</v>
      </c>
      <c r="K104" s="229">
        <f>+'Table 1'!K128:M128</f>
        <v>112.5</v>
      </c>
      <c r="L104" s="229">
        <f>+'Table 1'!L128:N128</f>
        <v>15</v>
      </c>
      <c r="M104" s="229">
        <f>+'Table 1'!M128:O128</f>
        <v>15</v>
      </c>
      <c r="N104" s="229">
        <f>+'Table 1'!N128:P128</f>
        <v>20</v>
      </c>
      <c r="O104" s="229">
        <f>+'Table 1'!O128:Q128</f>
        <v>20</v>
      </c>
      <c r="P104" s="229">
        <f>+'Table 1'!P128:R128</f>
        <v>117.5</v>
      </c>
      <c r="Q104" s="229">
        <f>+'Table 1'!Q128:S128</f>
        <v>117.5</v>
      </c>
      <c r="R104" s="229">
        <f>+'Table 1'!R128:T128</f>
        <v>35</v>
      </c>
      <c r="S104" s="229">
        <f>+'Table 1'!S128:U128</f>
        <v>35</v>
      </c>
      <c r="T104" s="229">
        <f>+'Table 1'!T128:V128</f>
        <v>0</v>
      </c>
      <c r="U104" s="229">
        <f>+'Table 1'!U128:W128</f>
        <v>0</v>
      </c>
      <c r="V104" s="229">
        <f>+'Table 1'!V128:X128</f>
        <v>355</v>
      </c>
      <c r="W104" s="229">
        <f>+'Table 1'!W128:Y128</f>
        <v>3674054.7500000005</v>
      </c>
      <c r="X104" s="229">
        <f>+'Table 1'!X128:Z128</f>
        <v>355</v>
      </c>
      <c r="Y104" s="229">
        <f>+'Table 1'!Y128:AA128</f>
        <v>3674054.7500000005</v>
      </c>
      <c r="Z104" s="229">
        <f>+'Table 1'!Z128:AB128</f>
        <v>0</v>
      </c>
      <c r="AB104" s="239">
        <f t="shared" si="17"/>
        <v>439851.62500000006</v>
      </c>
      <c r="AC104" s="239">
        <f t="shared" si="9"/>
        <v>129368.12500000001</v>
      </c>
      <c r="AD104" s="239">
        <f t="shared" si="10"/>
        <v>1164313.125</v>
      </c>
      <c r="AE104" s="239">
        <f t="shared" si="11"/>
        <v>155241.75</v>
      </c>
      <c r="AF104" s="239">
        <f t="shared" si="12"/>
        <v>206989</v>
      </c>
      <c r="AG104" s="239">
        <f t="shared" si="13"/>
        <v>1216060.375</v>
      </c>
      <c r="AH104" s="239">
        <f t="shared" si="14"/>
        <v>362230.75</v>
      </c>
      <c r="AI104" s="239"/>
      <c r="AJ104" s="239">
        <f t="shared" si="15"/>
        <v>3674054.75</v>
      </c>
      <c r="AK104" s="238">
        <f>+'Table 1'!Y128</f>
        <v>3674054.7500000005</v>
      </c>
      <c r="AL104" s="20">
        <f t="shared" si="16"/>
        <v>0</v>
      </c>
    </row>
    <row r="105" spans="1:38" ht="15.6" x14ac:dyDescent="0.25">
      <c r="A105" s="228" t="str">
        <f>+'Table 1'!A129:C129</f>
        <v>Item No. 26:-Providing B.B. masonry with</v>
      </c>
      <c r="B105" s="229">
        <f>+'Table 1'!B129:D129</f>
        <v>0</v>
      </c>
      <c r="C105" s="229">
        <f>+'Table 1'!C129:E129</f>
        <v>0</v>
      </c>
      <c r="D105" s="229" t="str">
        <f>+'Table 1'!D129:F129</f>
        <v>Cum</v>
      </c>
      <c r="E105" s="229">
        <f>+'Table 1'!E129:G129</f>
        <v>6133.55</v>
      </c>
      <c r="F105" s="229">
        <f>+'Table 1'!F129:H129</f>
        <v>9.52</v>
      </c>
      <c r="G105" s="229">
        <f>+'Table 1'!G129:I129</f>
        <v>9.5220000000000002</v>
      </c>
      <c r="H105" s="229">
        <f>+'Table 1'!H129:J129</f>
        <v>9.52</v>
      </c>
      <c r="I105" s="229">
        <f>+'Table 1'!I129:K129</f>
        <v>9.52</v>
      </c>
      <c r="J105" s="229">
        <f>+'Table 1'!J129:L129</f>
        <v>9.52</v>
      </c>
      <c r="K105" s="229">
        <f>+'Table 1'!K129:M129</f>
        <v>9.5220000000000002</v>
      </c>
      <c r="L105" s="229">
        <f>+'Table 1'!L129:N129</f>
        <v>9.52</v>
      </c>
      <c r="M105" s="229">
        <f>+'Table 1'!M129:O129</f>
        <v>9.5220000000000002</v>
      </c>
      <c r="N105" s="229">
        <f>+'Table 1'!N129:P129</f>
        <v>9.52</v>
      </c>
      <c r="O105" s="229">
        <f>+'Table 1'!O129:Q129</f>
        <v>9.5220000000000002</v>
      </c>
      <c r="P105" s="229">
        <f>+'Table 1'!P129:R129</f>
        <v>9.52</v>
      </c>
      <c r="Q105" s="229">
        <f>+'Table 1'!Q129:S129</f>
        <v>9.52</v>
      </c>
      <c r="R105" s="229">
        <f>+'Table 1'!R129:T129</f>
        <v>9.52</v>
      </c>
      <c r="S105" s="229">
        <f>+'Table 1'!S129:U129</f>
        <v>9.5220000000000002</v>
      </c>
      <c r="T105" s="229">
        <f>+'Table 1'!T129:V129</f>
        <v>0</v>
      </c>
      <c r="U105" s="229">
        <f>+'Table 1'!U129:W129</f>
        <v>0</v>
      </c>
      <c r="V105" s="229">
        <f>+'Table 1'!V129:X129</f>
        <v>66.639999999999986</v>
      </c>
      <c r="W105" s="229">
        <f>+'Table 1'!W129:Y129</f>
        <v>408739.77199999994</v>
      </c>
      <c r="X105" s="229">
        <f>+'Table 1'!X129:Z129</f>
        <v>66.649999999999991</v>
      </c>
      <c r="Y105" s="229">
        <f>+'Table 1'!Y129:AA129</f>
        <v>408801.10749999998</v>
      </c>
      <c r="Z105" s="229">
        <f>+'Table 1'!Z129:AB129</f>
        <v>61.335500000044703</v>
      </c>
      <c r="AB105" s="239">
        <f t="shared" si="17"/>
        <v>58403.663100000005</v>
      </c>
      <c r="AC105" s="239">
        <f t="shared" si="9"/>
        <v>58391.396000000001</v>
      </c>
      <c r="AD105" s="239">
        <f t="shared" si="10"/>
        <v>58403.663100000005</v>
      </c>
      <c r="AE105" s="239">
        <f t="shared" si="11"/>
        <v>58403.663100000005</v>
      </c>
      <c r="AF105" s="239">
        <f t="shared" si="12"/>
        <v>58403.663100000005</v>
      </c>
      <c r="AG105" s="239">
        <f t="shared" si="13"/>
        <v>58391.396000000001</v>
      </c>
      <c r="AH105" s="239">
        <f t="shared" si="14"/>
        <v>58403.663100000005</v>
      </c>
      <c r="AI105" s="239"/>
      <c r="AJ105" s="239">
        <f t="shared" si="15"/>
        <v>408801.10750000004</v>
      </c>
      <c r="AK105" s="238">
        <f>+'Table 1'!Y129</f>
        <v>408801.10749999998</v>
      </c>
      <c r="AL105" s="20">
        <f t="shared" si="16"/>
        <v>0</v>
      </c>
    </row>
    <row r="106" spans="1:38" ht="15.6" x14ac:dyDescent="0.25">
      <c r="A106" s="228" t="str">
        <f>+'Table 1'!A130:C130</f>
        <v>Item No. 27:-Providing internal cement plaster</v>
      </c>
      <c r="B106" s="229">
        <f>+'Table 1'!B130:D130</f>
        <v>0</v>
      </c>
      <c r="C106" s="229">
        <f>+'Table 1'!C130:E130</f>
        <v>0</v>
      </c>
      <c r="D106" s="229" t="str">
        <f>+'Table 1'!D130:F130</f>
        <v>Sqm</v>
      </c>
      <c r="E106" s="229">
        <f>+'Table 1'!E130:G130</f>
        <v>273.55</v>
      </c>
      <c r="F106" s="229">
        <f>+'Table 1'!F130:H130</f>
        <v>40.5</v>
      </c>
      <c r="G106" s="229">
        <f>+'Table 1'!G130:I130</f>
        <v>40.5</v>
      </c>
      <c r="H106" s="229">
        <f>+'Table 1'!H130:J130</f>
        <v>40.5</v>
      </c>
      <c r="I106" s="229">
        <f>+'Table 1'!I130:K130</f>
        <v>40.5</v>
      </c>
      <c r="J106" s="229">
        <f>+'Table 1'!J130:L130</f>
        <v>40.5</v>
      </c>
      <c r="K106" s="229">
        <f>+'Table 1'!K130:M130</f>
        <v>40.5</v>
      </c>
      <c r="L106" s="229">
        <f>+'Table 1'!L130:N130</f>
        <v>40.5</v>
      </c>
      <c r="M106" s="229">
        <f>+'Table 1'!M130:O130</f>
        <v>40.5</v>
      </c>
      <c r="N106" s="229">
        <f>+'Table 1'!N130:P130</f>
        <v>40.5</v>
      </c>
      <c r="O106" s="229">
        <f>+'Table 1'!O130:Q130</f>
        <v>40.5</v>
      </c>
      <c r="P106" s="229">
        <f>+'Table 1'!P130:R130</f>
        <v>40.5</v>
      </c>
      <c r="Q106" s="229">
        <f>+'Table 1'!Q130:S130</f>
        <v>40.5</v>
      </c>
      <c r="R106" s="229">
        <f>+'Table 1'!R130:T130</f>
        <v>40.5</v>
      </c>
      <c r="S106" s="229">
        <f>+'Table 1'!S130:U130</f>
        <v>40.5</v>
      </c>
      <c r="T106" s="229">
        <f>+'Table 1'!T130:V130</f>
        <v>0</v>
      </c>
      <c r="U106" s="229">
        <f>+'Table 1'!U130:W130</f>
        <v>0</v>
      </c>
      <c r="V106" s="229">
        <f>+'Table 1'!V130:X130</f>
        <v>283.5</v>
      </c>
      <c r="W106" s="229">
        <f>+'Table 1'!W130:Y130</f>
        <v>77551.425000000003</v>
      </c>
      <c r="X106" s="229">
        <f>+'Table 1'!X130:Z130</f>
        <v>283.5</v>
      </c>
      <c r="Y106" s="229">
        <f>+'Table 1'!Y130:AA130</f>
        <v>77551.425000000003</v>
      </c>
      <c r="Z106" s="229">
        <f>+'Table 1'!Z130:AB130</f>
        <v>0</v>
      </c>
      <c r="AB106" s="239">
        <f t="shared" si="17"/>
        <v>11078.775</v>
      </c>
      <c r="AC106" s="239">
        <f t="shared" si="9"/>
        <v>11078.775</v>
      </c>
      <c r="AD106" s="239">
        <f t="shared" si="10"/>
        <v>11078.775</v>
      </c>
      <c r="AE106" s="239">
        <f t="shared" si="11"/>
        <v>11078.775</v>
      </c>
      <c r="AF106" s="239">
        <f t="shared" si="12"/>
        <v>11078.775</v>
      </c>
      <c r="AG106" s="239">
        <f t="shared" si="13"/>
        <v>11078.775</v>
      </c>
      <c r="AH106" s="239">
        <f t="shared" si="14"/>
        <v>11078.775</v>
      </c>
      <c r="AI106" s="239"/>
      <c r="AJ106" s="239">
        <f t="shared" si="15"/>
        <v>77551.424999999988</v>
      </c>
      <c r="AK106" s="238">
        <f>+'Table 1'!Y130</f>
        <v>77551.425000000003</v>
      </c>
      <c r="AL106" s="20">
        <f t="shared" si="16"/>
        <v>0</v>
      </c>
    </row>
    <row r="107" spans="1:38" ht="15.6" x14ac:dyDescent="0.25">
      <c r="A107" s="228" t="str">
        <f>+'Table 1'!A131:C131</f>
        <v>Item No. 28:-Providing sand faced plaster</v>
      </c>
      <c r="B107" s="229">
        <f>+'Table 1'!B131:D131</f>
        <v>0</v>
      </c>
      <c r="C107" s="229">
        <f>+'Table 1'!C131:E131</f>
        <v>0</v>
      </c>
      <c r="D107" s="229" t="str">
        <f>+'Table 1'!D131:F131</f>
        <v>Sqm</v>
      </c>
      <c r="E107" s="229">
        <f>+'Table 1'!E131:G131</f>
        <v>642.75</v>
      </c>
      <c r="F107" s="229">
        <f>+'Table 1'!F131:H131</f>
        <v>44.1</v>
      </c>
      <c r="G107" s="229">
        <f>+'Table 1'!G131:I131</f>
        <v>44.099999999999994</v>
      </c>
      <c r="H107" s="229">
        <f>+'Table 1'!H131:J131</f>
        <v>44.1</v>
      </c>
      <c r="I107" s="229">
        <f>+'Table 1'!I131:K131</f>
        <v>44.099999999999994</v>
      </c>
      <c r="J107" s="229">
        <f>+'Table 1'!J131:L131</f>
        <v>44.1</v>
      </c>
      <c r="K107" s="229">
        <f>+'Table 1'!K131:M131</f>
        <v>44.099999999999994</v>
      </c>
      <c r="L107" s="229">
        <f>+'Table 1'!L131:N131</f>
        <v>44.1</v>
      </c>
      <c r="M107" s="229">
        <f>+'Table 1'!M131:O131</f>
        <v>44.099999999999994</v>
      </c>
      <c r="N107" s="229">
        <f>+'Table 1'!N131:P131</f>
        <v>44.1</v>
      </c>
      <c r="O107" s="229">
        <f>+'Table 1'!O131:Q131</f>
        <v>44.099999999999994</v>
      </c>
      <c r="P107" s="229">
        <f>+'Table 1'!P131:R131</f>
        <v>44.1</v>
      </c>
      <c r="Q107" s="229">
        <f>+'Table 1'!Q131:S131</f>
        <v>44.099999999999994</v>
      </c>
      <c r="R107" s="229">
        <f>+'Table 1'!R131:T131</f>
        <v>44.1</v>
      </c>
      <c r="S107" s="229">
        <f>+'Table 1'!S131:U131</f>
        <v>44.099999999999994</v>
      </c>
      <c r="T107" s="229">
        <f>+'Table 1'!T131:V131</f>
        <v>0</v>
      </c>
      <c r="U107" s="229">
        <f>+'Table 1'!U131:W131</f>
        <v>0</v>
      </c>
      <c r="V107" s="229">
        <f>+'Table 1'!V131:X131</f>
        <v>308.70000000000005</v>
      </c>
      <c r="W107" s="229">
        <f>+'Table 1'!W131:Y131</f>
        <v>198416.92500000002</v>
      </c>
      <c r="X107" s="229">
        <f>+'Table 1'!X131:Z131</f>
        <v>308.69999999999993</v>
      </c>
      <c r="Y107" s="229">
        <f>+'Table 1'!Y131:AA131</f>
        <v>198416.92499999996</v>
      </c>
      <c r="Z107" s="229">
        <f>+'Table 1'!Z131:AB131</f>
        <v>0</v>
      </c>
      <c r="AB107" s="239">
        <f t="shared" si="17"/>
        <v>28345.274999999998</v>
      </c>
      <c r="AC107" s="239">
        <f t="shared" si="9"/>
        <v>28345.274999999998</v>
      </c>
      <c r="AD107" s="239">
        <f t="shared" si="10"/>
        <v>28345.274999999998</v>
      </c>
      <c r="AE107" s="239">
        <f t="shared" si="11"/>
        <v>28345.274999999998</v>
      </c>
      <c r="AF107" s="239">
        <f t="shared" si="12"/>
        <v>28345.274999999998</v>
      </c>
      <c r="AG107" s="239">
        <f t="shared" si="13"/>
        <v>28345.274999999998</v>
      </c>
      <c r="AH107" s="239">
        <f t="shared" si="14"/>
        <v>28345.274999999998</v>
      </c>
      <c r="AI107" s="239"/>
      <c r="AJ107" s="239">
        <f t="shared" si="15"/>
        <v>198416.92499999999</v>
      </c>
      <c r="AK107" s="238">
        <f>+'Table 1'!Y131</f>
        <v>198416.92499999996</v>
      </c>
      <c r="AL107" s="20">
        <f t="shared" si="16"/>
        <v>0</v>
      </c>
    </row>
    <row r="108" spans="1:38" ht="15.6" x14ac:dyDescent="0.25">
      <c r="A108" s="228" t="str">
        <f>+'Table 1'!A132:C132</f>
        <v>Item No. 29:-Providing and applying two coats of</v>
      </c>
      <c r="B108" s="229">
        <f>+'Table 1'!B132:D132</f>
        <v>0</v>
      </c>
      <c r="C108" s="229">
        <f>+'Table 1'!C132:E132</f>
        <v>0</v>
      </c>
      <c r="D108" s="229" t="str">
        <f>+'Table 1'!D132:F132</f>
        <v>Sqm</v>
      </c>
      <c r="E108" s="229">
        <f>+'Table 1'!E132:G132</f>
        <v>79</v>
      </c>
      <c r="F108" s="229">
        <f>+'Table 1'!F132:H132</f>
        <v>44.1</v>
      </c>
      <c r="G108" s="229">
        <f>+'Table 1'!G132:I132</f>
        <v>44.099999999999994</v>
      </c>
      <c r="H108" s="229">
        <f>+'Table 1'!H132:J132</f>
        <v>44.1</v>
      </c>
      <c r="I108" s="229">
        <f>+'Table 1'!I132:K132</f>
        <v>44.099999999999994</v>
      </c>
      <c r="J108" s="229">
        <f>+'Table 1'!J132:L132</f>
        <v>44.1</v>
      </c>
      <c r="K108" s="229">
        <f>+'Table 1'!K132:M132</f>
        <v>44.099999999999994</v>
      </c>
      <c r="L108" s="229">
        <f>+'Table 1'!L132:N132</f>
        <v>44.1</v>
      </c>
      <c r="M108" s="229">
        <f>+'Table 1'!M132:O132</f>
        <v>44.099999999999994</v>
      </c>
      <c r="N108" s="229">
        <f>+'Table 1'!N132:P132</f>
        <v>44.1</v>
      </c>
      <c r="O108" s="229">
        <f>+'Table 1'!O132:Q132</f>
        <v>44.099999999999994</v>
      </c>
      <c r="P108" s="229">
        <f>+'Table 1'!P132:R132</f>
        <v>44.1</v>
      </c>
      <c r="Q108" s="229">
        <f>+'Table 1'!Q132:S132</f>
        <v>44.099999999999994</v>
      </c>
      <c r="R108" s="229">
        <f>+'Table 1'!R132:T132</f>
        <v>44.1</v>
      </c>
      <c r="S108" s="229">
        <f>+'Table 1'!S132:U132</f>
        <v>44.099999999999994</v>
      </c>
      <c r="T108" s="229">
        <f>+'Table 1'!T132:V132</f>
        <v>0</v>
      </c>
      <c r="U108" s="229">
        <f>+'Table 1'!U132:W132</f>
        <v>0</v>
      </c>
      <c r="V108" s="229">
        <f>+'Table 1'!V132:X132</f>
        <v>308.70000000000005</v>
      </c>
      <c r="W108" s="229">
        <f>+'Table 1'!W132:Y132</f>
        <v>24387.300000000003</v>
      </c>
      <c r="X108" s="229">
        <f>+'Table 1'!X132:Z132</f>
        <v>308.69999999999993</v>
      </c>
      <c r="Y108" s="229">
        <f>+'Table 1'!Y132:AA132</f>
        <v>24387.299999999996</v>
      </c>
      <c r="Z108" s="229">
        <f>+'Table 1'!Z132:AB132</f>
        <v>0</v>
      </c>
      <c r="AB108" s="239">
        <f t="shared" si="17"/>
        <v>3483.8999999999996</v>
      </c>
      <c r="AC108" s="239">
        <f t="shared" si="9"/>
        <v>3483.8999999999996</v>
      </c>
      <c r="AD108" s="239">
        <f t="shared" si="10"/>
        <v>3483.8999999999996</v>
      </c>
      <c r="AE108" s="239">
        <f t="shared" si="11"/>
        <v>3483.8999999999996</v>
      </c>
      <c r="AF108" s="239">
        <f t="shared" si="12"/>
        <v>3483.8999999999996</v>
      </c>
      <c r="AG108" s="239">
        <f t="shared" si="13"/>
        <v>3483.8999999999996</v>
      </c>
      <c r="AH108" s="239">
        <f t="shared" si="14"/>
        <v>3483.8999999999996</v>
      </c>
      <c r="AI108" s="239"/>
      <c r="AJ108" s="239">
        <f t="shared" si="15"/>
        <v>24387.300000000003</v>
      </c>
      <c r="AK108" s="238">
        <f>+'Table 1'!Y132</f>
        <v>24387.299999999996</v>
      </c>
      <c r="AL108" s="20">
        <f t="shared" si="16"/>
        <v>0</v>
      </c>
    </row>
    <row r="109" spans="1:38" ht="15.6" x14ac:dyDescent="0.25">
      <c r="A109" s="228" t="str">
        <f>+'Table 1'!A133:C133</f>
        <v>Item No. 30:-Providing and applying colour-wash of</v>
      </c>
      <c r="B109" s="229">
        <f>+'Table 1'!B133:D133</f>
        <v>0</v>
      </c>
      <c r="C109" s="229">
        <f>+'Table 1'!C133:E133</f>
        <v>0</v>
      </c>
      <c r="D109" s="229" t="str">
        <f>+'Table 1'!D133:F133</f>
        <v>Sqm</v>
      </c>
      <c r="E109" s="229">
        <f>+'Table 1'!E133:G133</f>
        <v>10</v>
      </c>
      <c r="F109" s="229">
        <f>+'Table 1'!F133:H133</f>
        <v>40.5</v>
      </c>
      <c r="G109" s="229">
        <f>+'Table 1'!G133:I133</f>
        <v>40.5</v>
      </c>
      <c r="H109" s="229">
        <f>+'Table 1'!H133:J133</f>
        <v>40.5</v>
      </c>
      <c r="I109" s="229">
        <f>+'Table 1'!I133:K133</f>
        <v>40.5</v>
      </c>
      <c r="J109" s="229">
        <f>+'Table 1'!J133:L133</f>
        <v>40.5</v>
      </c>
      <c r="K109" s="229">
        <f>+'Table 1'!K133:M133</f>
        <v>40.5</v>
      </c>
      <c r="L109" s="229">
        <f>+'Table 1'!L133:N133</f>
        <v>40.5</v>
      </c>
      <c r="M109" s="229">
        <f>+'Table 1'!M133:O133</f>
        <v>40.5</v>
      </c>
      <c r="N109" s="229">
        <f>+'Table 1'!N133:P133</f>
        <v>40.5</v>
      </c>
      <c r="O109" s="229">
        <f>+'Table 1'!O133:Q133</f>
        <v>40.5</v>
      </c>
      <c r="P109" s="229">
        <f>+'Table 1'!P133:R133</f>
        <v>40.5</v>
      </c>
      <c r="Q109" s="229">
        <f>+'Table 1'!Q133:S133</f>
        <v>40.5</v>
      </c>
      <c r="R109" s="229">
        <f>+'Table 1'!R133:T133</f>
        <v>40.5</v>
      </c>
      <c r="S109" s="229">
        <f>+'Table 1'!S133:U133</f>
        <v>40.5</v>
      </c>
      <c r="T109" s="229">
        <f>+'Table 1'!T133:V133</f>
        <v>0</v>
      </c>
      <c r="U109" s="229">
        <f>+'Table 1'!U133:W133</f>
        <v>0</v>
      </c>
      <c r="V109" s="229">
        <f>+'Table 1'!V133:X133</f>
        <v>283.5</v>
      </c>
      <c r="W109" s="229">
        <f>+'Table 1'!W133:Y133</f>
        <v>2835</v>
      </c>
      <c r="X109" s="229">
        <f>+'Table 1'!X133:Z133</f>
        <v>283.5</v>
      </c>
      <c r="Y109" s="229">
        <f>+'Table 1'!Y133:AA133</f>
        <v>2835</v>
      </c>
      <c r="Z109" s="229">
        <f>+'Table 1'!Z133:AB133</f>
        <v>0</v>
      </c>
      <c r="AB109" s="239">
        <f t="shared" si="17"/>
        <v>405</v>
      </c>
      <c r="AC109" s="239">
        <f t="shared" si="9"/>
        <v>405</v>
      </c>
      <c r="AD109" s="239">
        <f t="shared" si="10"/>
        <v>405</v>
      </c>
      <c r="AE109" s="239">
        <f t="shared" si="11"/>
        <v>405</v>
      </c>
      <c r="AF109" s="239">
        <f t="shared" si="12"/>
        <v>405</v>
      </c>
      <c r="AG109" s="239">
        <f t="shared" si="13"/>
        <v>405</v>
      </c>
      <c r="AH109" s="239">
        <f t="shared" si="14"/>
        <v>405</v>
      </c>
      <c r="AI109" s="239"/>
      <c r="AJ109" s="239">
        <f t="shared" si="15"/>
        <v>2835</v>
      </c>
      <c r="AK109" s="238">
        <f>+'Table 1'!Y133</f>
        <v>2835</v>
      </c>
      <c r="AL109" s="20">
        <f t="shared" si="16"/>
        <v>0</v>
      </c>
    </row>
    <row r="110" spans="1:38" ht="15.6" x14ac:dyDescent="0.25">
      <c r="A110" s="228" t="str">
        <f>+'Table 1'!A134:C134</f>
        <v>Item No. 31:-Providing and fixing rolling shutter</v>
      </c>
      <c r="B110" s="229">
        <f>+'Table 1'!B134:D134</f>
        <v>0</v>
      </c>
      <c r="C110" s="229">
        <f>+'Table 1'!C134:E134</f>
        <v>0</v>
      </c>
      <c r="D110" s="229" t="str">
        <f>+'Table 1'!D134:F134</f>
        <v>Sqm</v>
      </c>
      <c r="E110" s="229">
        <f>+'Table 1'!E134:G134</f>
        <v>4828.8999999999996</v>
      </c>
      <c r="F110" s="229">
        <f>+'Table 1'!F134:H134</f>
        <v>3.15</v>
      </c>
      <c r="G110" s="229">
        <f>+'Table 1'!G134:I134</f>
        <v>3.1500000000000004</v>
      </c>
      <c r="H110" s="229">
        <f>+'Table 1'!H134:J134</f>
        <v>3.15</v>
      </c>
      <c r="I110" s="229">
        <f>+'Table 1'!I134:K134</f>
        <v>3.1500000000000004</v>
      </c>
      <c r="J110" s="229">
        <f>+'Table 1'!J134:L134</f>
        <v>3.15</v>
      </c>
      <c r="K110" s="229">
        <f>+'Table 1'!K134:M134</f>
        <v>3.1500000000000004</v>
      </c>
      <c r="L110" s="229">
        <f>+'Table 1'!L134:N134</f>
        <v>3.15</v>
      </c>
      <c r="M110" s="229">
        <f>+'Table 1'!M134:O134</f>
        <v>3.1500000000000004</v>
      </c>
      <c r="N110" s="229">
        <f>+'Table 1'!N134:P134</f>
        <v>3.15</v>
      </c>
      <c r="O110" s="229">
        <f>+'Table 1'!O134:Q134</f>
        <v>3.1500000000000004</v>
      </c>
      <c r="P110" s="229">
        <f>+'Table 1'!P134:R134</f>
        <v>3.15</v>
      </c>
      <c r="Q110" s="229">
        <f>+'Table 1'!Q134:S134</f>
        <v>3.1500000000000004</v>
      </c>
      <c r="R110" s="229">
        <f>+'Table 1'!R134:T134</f>
        <v>3.15</v>
      </c>
      <c r="S110" s="229">
        <f>+'Table 1'!S134:U134</f>
        <v>3.1500000000000004</v>
      </c>
      <c r="T110" s="229">
        <f>+'Table 1'!T134:V134</f>
        <v>0</v>
      </c>
      <c r="U110" s="229">
        <f>+'Table 1'!U134:W134</f>
        <v>0</v>
      </c>
      <c r="V110" s="229">
        <f>+'Table 1'!V134:X134</f>
        <v>22.049999999999997</v>
      </c>
      <c r="W110" s="229">
        <f>+'Table 1'!W134:Y134</f>
        <v>106477.24499999998</v>
      </c>
      <c r="X110" s="229">
        <f>+'Table 1'!X134:Z134</f>
        <v>22.050000000000004</v>
      </c>
      <c r="Y110" s="229">
        <f>+'Table 1'!Y134:AA134</f>
        <v>106477.24500000001</v>
      </c>
      <c r="Z110" s="229">
        <f>+'Table 1'!Z134:AB134</f>
        <v>0</v>
      </c>
      <c r="AB110" s="239">
        <f t="shared" si="17"/>
        <v>15211.035</v>
      </c>
      <c r="AC110" s="239">
        <f t="shared" si="9"/>
        <v>15211.035</v>
      </c>
      <c r="AD110" s="239">
        <f t="shared" si="10"/>
        <v>15211.035</v>
      </c>
      <c r="AE110" s="239">
        <f t="shared" si="11"/>
        <v>15211.035</v>
      </c>
      <c r="AF110" s="239">
        <f t="shared" si="12"/>
        <v>15211.035</v>
      </c>
      <c r="AG110" s="239">
        <f t="shared" si="13"/>
        <v>15211.035</v>
      </c>
      <c r="AH110" s="239">
        <f t="shared" si="14"/>
        <v>15211.035</v>
      </c>
      <c r="AI110" s="239"/>
      <c r="AJ110" s="239">
        <f t="shared" si="15"/>
        <v>106477.24500000001</v>
      </c>
      <c r="AK110" s="238">
        <f>+'Table 1'!Y134</f>
        <v>106477.24500000001</v>
      </c>
      <c r="AL110" s="20">
        <f t="shared" si="16"/>
        <v>0</v>
      </c>
    </row>
    <row r="111" spans="1:38" ht="15.6" x14ac:dyDescent="0.25">
      <c r="A111" s="228" t="str">
        <f>+'Table 1'!A135:C135</f>
        <v>Item No. 32:-Providing and fixing steel window</v>
      </c>
      <c r="B111" s="229">
        <f>+'Table 1'!B135:D135</f>
        <v>0</v>
      </c>
      <c r="C111" s="229">
        <f>+'Table 1'!C135:E135</f>
        <v>0</v>
      </c>
      <c r="D111" s="229" t="str">
        <f>+'Table 1'!D135:F135</f>
        <v>Sqm</v>
      </c>
      <c r="E111" s="229">
        <f>+'Table 1'!E135:G135</f>
        <v>4345</v>
      </c>
      <c r="F111" s="229">
        <f>+'Table 1'!F135:H135</f>
        <v>2.4</v>
      </c>
      <c r="G111" s="229">
        <f>+'Table 1'!G135:I135</f>
        <v>2.4</v>
      </c>
      <c r="H111" s="229">
        <f>+'Table 1'!H135:J135</f>
        <v>2.4</v>
      </c>
      <c r="I111" s="229">
        <f>+'Table 1'!I135:K135</f>
        <v>2.4</v>
      </c>
      <c r="J111" s="229">
        <f>+'Table 1'!J135:L135</f>
        <v>2.4</v>
      </c>
      <c r="K111" s="229">
        <f>+'Table 1'!K135:M135</f>
        <v>2.4</v>
      </c>
      <c r="L111" s="229">
        <f>+'Table 1'!L135:N135</f>
        <v>2.4</v>
      </c>
      <c r="M111" s="229">
        <f>+'Table 1'!M135:O135</f>
        <v>2.4</v>
      </c>
      <c r="N111" s="229">
        <f>+'Table 1'!N135:P135</f>
        <v>2.4</v>
      </c>
      <c r="O111" s="229">
        <f>+'Table 1'!O135:Q135</f>
        <v>2.4</v>
      </c>
      <c r="P111" s="229">
        <f>+'Table 1'!P135:R135</f>
        <v>2.4</v>
      </c>
      <c r="Q111" s="229">
        <f>+'Table 1'!Q135:S135</f>
        <v>2.4</v>
      </c>
      <c r="R111" s="229">
        <f>+'Table 1'!R135:T135</f>
        <v>2.4</v>
      </c>
      <c r="S111" s="229">
        <f>+'Table 1'!S135:U135</f>
        <v>2.4</v>
      </c>
      <c r="T111" s="229">
        <f>+'Table 1'!T135:V135</f>
        <v>0</v>
      </c>
      <c r="U111" s="229">
        <f>+'Table 1'!U135:W135</f>
        <v>0</v>
      </c>
      <c r="V111" s="229">
        <f>+'Table 1'!V135:X135</f>
        <v>16.8</v>
      </c>
      <c r="W111" s="229">
        <f>+'Table 1'!W135:Y135</f>
        <v>72996</v>
      </c>
      <c r="X111" s="229">
        <f>+'Table 1'!X135:Z135</f>
        <v>16.8</v>
      </c>
      <c r="Y111" s="229">
        <f>+'Table 1'!Y135:AA135</f>
        <v>72996</v>
      </c>
      <c r="Z111" s="229">
        <f>+'Table 1'!Z135:AB135</f>
        <v>0</v>
      </c>
      <c r="AB111" s="239">
        <f t="shared" si="17"/>
        <v>10428</v>
      </c>
      <c r="AC111" s="239">
        <f t="shared" si="9"/>
        <v>10428</v>
      </c>
      <c r="AD111" s="239">
        <f t="shared" si="10"/>
        <v>10428</v>
      </c>
      <c r="AE111" s="239">
        <f t="shared" si="11"/>
        <v>10428</v>
      </c>
      <c r="AF111" s="239">
        <f t="shared" si="12"/>
        <v>10428</v>
      </c>
      <c r="AG111" s="239">
        <f t="shared" si="13"/>
        <v>10428</v>
      </c>
      <c r="AH111" s="239">
        <f t="shared" si="14"/>
        <v>10428</v>
      </c>
      <c r="AI111" s="239"/>
      <c r="AJ111" s="239">
        <f t="shared" si="15"/>
        <v>72996</v>
      </c>
      <c r="AK111" s="238">
        <f>+'Table 1'!Y135</f>
        <v>72996</v>
      </c>
      <c r="AL111" s="20">
        <f t="shared" si="16"/>
        <v>0</v>
      </c>
    </row>
    <row r="112" spans="1:38" ht="27.6" x14ac:dyDescent="0.25">
      <c r="A112" s="228" t="str">
        <f>+'Table 1'!A136:C136</f>
        <v>Item No. 33:-Providing and fixing mild steel grill
work for windows, ventilators, etc. 15</v>
      </c>
      <c r="B112" s="229">
        <f>+'Table 1'!B136:D136</f>
        <v>0</v>
      </c>
      <c r="C112" s="229">
        <f>+'Table 1'!C136:E136</f>
        <v>0</v>
      </c>
      <c r="D112" s="229" t="str">
        <f>+'Table 1'!D136:F136</f>
        <v>Sqm</v>
      </c>
      <c r="E112" s="229">
        <f>+'Table 1'!E136:G136</f>
        <v>1707.1</v>
      </c>
      <c r="F112" s="229">
        <f>+'Table 1'!F136:H136</f>
        <v>2.4</v>
      </c>
      <c r="G112" s="229">
        <f>+'Table 1'!G136:I136</f>
        <v>2.4</v>
      </c>
      <c r="H112" s="229">
        <f>+'Table 1'!H136:J136</f>
        <v>2.4</v>
      </c>
      <c r="I112" s="229">
        <f>+'Table 1'!I136:K136</f>
        <v>2.4</v>
      </c>
      <c r="J112" s="229">
        <f>+'Table 1'!J136:L136</f>
        <v>2.4</v>
      </c>
      <c r="K112" s="229">
        <f>+'Table 1'!K136:M136</f>
        <v>2.4</v>
      </c>
      <c r="L112" s="229">
        <f>+'Table 1'!L136:N136</f>
        <v>2.4</v>
      </c>
      <c r="M112" s="229">
        <f>+'Table 1'!M136:O136</f>
        <v>2.4</v>
      </c>
      <c r="N112" s="229">
        <f>+'Table 1'!N136:P136</f>
        <v>2.4</v>
      </c>
      <c r="O112" s="229">
        <f>+'Table 1'!O136:Q136</f>
        <v>2.4</v>
      </c>
      <c r="P112" s="229">
        <f>+'Table 1'!P136:R136</f>
        <v>2.4</v>
      </c>
      <c r="Q112" s="229">
        <f>+'Table 1'!Q136:S136</f>
        <v>2.4</v>
      </c>
      <c r="R112" s="229">
        <f>+'Table 1'!R136:T136</f>
        <v>2.4</v>
      </c>
      <c r="S112" s="229">
        <f>+'Table 1'!S136:U136</f>
        <v>2.4</v>
      </c>
      <c r="T112" s="229">
        <f>+'Table 1'!T136:V136</f>
        <v>0</v>
      </c>
      <c r="U112" s="229">
        <f>+'Table 1'!U136:W136</f>
        <v>0</v>
      </c>
      <c r="V112" s="229">
        <f>+'Table 1'!V136:X136</f>
        <v>16.8</v>
      </c>
      <c r="W112" s="229">
        <f>+'Table 1'!W136:Y136</f>
        <v>28679.279999999999</v>
      </c>
      <c r="X112" s="229">
        <f>+'Table 1'!X136:Z136</f>
        <v>16.8</v>
      </c>
      <c r="Y112" s="229">
        <f>+'Table 1'!Y136:AA136</f>
        <v>28679.279999999999</v>
      </c>
      <c r="Z112" s="229">
        <f>+'Table 1'!Z136:AB136</f>
        <v>0</v>
      </c>
      <c r="AB112" s="239">
        <f t="shared" si="17"/>
        <v>4097.04</v>
      </c>
      <c r="AC112" s="239">
        <f t="shared" si="9"/>
        <v>4097.04</v>
      </c>
      <c r="AD112" s="239">
        <f t="shared" si="10"/>
        <v>4097.04</v>
      </c>
      <c r="AE112" s="239">
        <f t="shared" si="11"/>
        <v>4097.04</v>
      </c>
      <c r="AF112" s="239">
        <f t="shared" si="12"/>
        <v>4097.04</v>
      </c>
      <c r="AG112" s="239">
        <f t="shared" si="13"/>
        <v>4097.04</v>
      </c>
      <c r="AH112" s="239">
        <f t="shared" si="14"/>
        <v>4097.04</v>
      </c>
      <c r="AI112" s="239"/>
      <c r="AJ112" s="239">
        <f t="shared" si="15"/>
        <v>28679.280000000002</v>
      </c>
      <c r="AK112" s="238">
        <f>+'Table 1'!Y136</f>
        <v>28679.279999999999</v>
      </c>
      <c r="AL112" s="20">
        <f t="shared" si="16"/>
        <v>0</v>
      </c>
    </row>
    <row r="113" spans="1:38" ht="27.6" x14ac:dyDescent="0.25">
      <c r="A113" s="228" t="str">
        <f>+'Table 1'!A137:C137</f>
        <v>Item No. 34:- Supplying, installing, testing and
commissioning of 1 kWp off grid  solar power pack</v>
      </c>
      <c r="B113" s="229">
        <f>+'Table 1'!B137:D137</f>
        <v>0</v>
      </c>
      <c r="C113" s="229">
        <f>+'Table 1'!C137:E137</f>
        <v>0</v>
      </c>
      <c r="D113" s="229" t="str">
        <f>+'Table 1'!D137:F137</f>
        <v>Each</v>
      </c>
      <c r="E113" s="229">
        <f>+'Table 1'!E137:G137</f>
        <v>75762</v>
      </c>
      <c r="F113" s="229">
        <f>+'Table 1'!F137:H137</f>
        <v>1</v>
      </c>
      <c r="G113" s="229">
        <f>+'Table 1'!G137:I137</f>
        <v>1</v>
      </c>
      <c r="H113" s="229">
        <f>+'Table 1'!H137:J137</f>
        <v>1</v>
      </c>
      <c r="I113" s="229">
        <f>+'Table 1'!I137:K137</f>
        <v>1</v>
      </c>
      <c r="J113" s="229">
        <f>+'Table 1'!J137:L137</f>
        <v>1</v>
      </c>
      <c r="K113" s="229">
        <f>+'Table 1'!K137:M137</f>
        <v>1</v>
      </c>
      <c r="L113" s="229">
        <f>+'Table 1'!L137:N137</f>
        <v>1</v>
      </c>
      <c r="M113" s="229">
        <f>+'Table 1'!M137:O137</f>
        <v>1</v>
      </c>
      <c r="N113" s="229">
        <f>+'Table 1'!N137:P137</f>
        <v>1</v>
      </c>
      <c r="O113" s="229">
        <f>+'Table 1'!O137:Q137</f>
        <v>1</v>
      </c>
      <c r="P113" s="229">
        <f>+'Table 1'!P137:R137</f>
        <v>1</v>
      </c>
      <c r="Q113" s="229">
        <f>+'Table 1'!Q137:S137</f>
        <v>1</v>
      </c>
      <c r="R113" s="229">
        <f>+'Table 1'!R137:T137</f>
        <v>1</v>
      </c>
      <c r="S113" s="229">
        <f>+'Table 1'!S137:U137</f>
        <v>1</v>
      </c>
      <c r="T113" s="229">
        <f>+'Table 1'!T137:V137</f>
        <v>0</v>
      </c>
      <c r="U113" s="229">
        <f>+'Table 1'!U137:W137</f>
        <v>0</v>
      </c>
      <c r="V113" s="229">
        <f>+'Table 1'!V137:X137</f>
        <v>7</v>
      </c>
      <c r="W113" s="229">
        <f>+'Table 1'!W137:Y137</f>
        <v>530334</v>
      </c>
      <c r="X113" s="229">
        <f>+'Table 1'!X137:Z137</f>
        <v>7</v>
      </c>
      <c r="Y113" s="229">
        <f>+'Table 1'!Y137:AA137</f>
        <v>530334</v>
      </c>
      <c r="Z113" s="229">
        <f>+'Table 1'!Z137:AB137</f>
        <v>0</v>
      </c>
      <c r="AB113" s="239">
        <f t="shared" si="17"/>
        <v>75762</v>
      </c>
      <c r="AC113" s="239">
        <f t="shared" si="9"/>
        <v>75762</v>
      </c>
      <c r="AD113" s="239">
        <f t="shared" si="10"/>
        <v>75762</v>
      </c>
      <c r="AE113" s="239">
        <f t="shared" si="11"/>
        <v>75762</v>
      </c>
      <c r="AF113" s="239">
        <f t="shared" si="12"/>
        <v>75762</v>
      </c>
      <c r="AG113" s="239">
        <f t="shared" si="13"/>
        <v>75762</v>
      </c>
      <c r="AH113" s="239">
        <f t="shared" si="14"/>
        <v>75762</v>
      </c>
      <c r="AI113" s="239"/>
      <c r="AJ113" s="239">
        <f t="shared" si="15"/>
        <v>530334</v>
      </c>
      <c r="AK113" s="238">
        <f>+'Table 1'!Y137</f>
        <v>530334</v>
      </c>
      <c r="AL113" s="20">
        <f t="shared" si="16"/>
        <v>0</v>
      </c>
    </row>
    <row r="114" spans="1:38" ht="27.6" x14ac:dyDescent="0.25">
      <c r="A114" s="228" t="str">
        <f>+'Table 1'!A138:C138</f>
        <v>Item No. 35:-Preparation of detailed construction
plan for pipe distribution network system including</v>
      </c>
      <c r="B114" s="229">
        <f>+'Table 1'!B138:D138</f>
        <v>0</v>
      </c>
      <c r="C114" s="229">
        <f>+'Table 1'!C138:E138</f>
        <v>0</v>
      </c>
      <c r="D114" s="229" t="str">
        <f>+'Table 1'!D138:F138</f>
        <v>Ha. CCA</v>
      </c>
      <c r="E114" s="229">
        <f>+'Table 1'!E138:G138</f>
        <v>676</v>
      </c>
      <c r="F114" s="229">
        <f>+'Table 1'!F138:H138</f>
        <v>124.95</v>
      </c>
      <c r="G114" s="229">
        <f>+'Table 1'!G138:I138</f>
        <v>149.06</v>
      </c>
      <c r="H114" s="229">
        <f>+'Table 1'!H138:J138</f>
        <v>47.61</v>
      </c>
      <c r="I114" s="229">
        <f>+'Table 1'!I138:K138</f>
        <v>58.72</v>
      </c>
      <c r="J114" s="229">
        <f>+'Table 1'!J138:L138</f>
        <v>454.04</v>
      </c>
      <c r="K114" s="229">
        <f>+'Table 1'!K138:M138</f>
        <v>529.95000000000005</v>
      </c>
      <c r="L114" s="229">
        <f>+'Table 1'!L138:N138</f>
        <v>52.19</v>
      </c>
      <c r="M114" s="229">
        <f>+'Table 1'!M138:O138</f>
        <v>77.92</v>
      </c>
      <c r="N114" s="229">
        <f>+'Table 1'!N138:P138</f>
        <v>164.88</v>
      </c>
      <c r="O114" s="229">
        <f>+'Table 1'!O138:Q138</f>
        <v>222.49</v>
      </c>
      <c r="P114" s="229">
        <f>+'Table 1'!P138:R138</f>
        <v>493.5</v>
      </c>
      <c r="Q114" s="229">
        <f>+'Table 1'!Q138:S138</f>
        <v>636.46</v>
      </c>
      <c r="R114" s="229">
        <f>+'Table 1'!R138:T138</f>
        <v>133.58000000000001</v>
      </c>
      <c r="S114" s="229">
        <f>+'Table 1'!S138:U138</f>
        <v>161.19</v>
      </c>
      <c r="T114" s="229">
        <f>+'Table 1'!T138:V138</f>
        <v>0</v>
      </c>
      <c r="U114" s="229">
        <f>+'Table 1'!U138:W138</f>
        <v>0</v>
      </c>
      <c r="V114" s="229">
        <f>+'Table 1'!V138:X138</f>
        <v>1470.75</v>
      </c>
      <c r="W114" s="229">
        <f>+'Table 1'!W138:Y138</f>
        <v>994227</v>
      </c>
      <c r="X114" s="229">
        <f>+'Table 1'!X138:Z138</f>
        <v>1835.79</v>
      </c>
      <c r="Y114" s="229">
        <f>+'Table 1'!Y138:AA138</f>
        <v>1240994.04</v>
      </c>
      <c r="Z114" s="229">
        <f>+'Table 1'!Z138:AB138</f>
        <v>246767.04000000004</v>
      </c>
      <c r="AB114" s="239">
        <f t="shared" si="17"/>
        <v>100764.56</v>
      </c>
      <c r="AC114" s="239">
        <f t="shared" si="9"/>
        <v>39694.720000000001</v>
      </c>
      <c r="AD114" s="239">
        <f t="shared" si="10"/>
        <v>358246.2</v>
      </c>
      <c r="AE114" s="239">
        <f t="shared" si="11"/>
        <v>52673.919999999998</v>
      </c>
      <c r="AF114" s="239">
        <f t="shared" si="12"/>
        <v>150403.24000000002</v>
      </c>
      <c r="AG114" s="239">
        <f t="shared" si="13"/>
        <v>430246.96</v>
      </c>
      <c r="AH114" s="239">
        <f t="shared" si="14"/>
        <v>108964.44</v>
      </c>
      <c r="AI114" s="239"/>
      <c r="AJ114" s="239">
        <f t="shared" si="15"/>
        <v>1240994.04</v>
      </c>
      <c r="AK114" s="238">
        <f>+'Table 1'!Y138</f>
        <v>1240994.04</v>
      </c>
      <c r="AL114" s="20">
        <f t="shared" si="16"/>
        <v>0</v>
      </c>
    </row>
    <row r="115" spans="1:38" ht="27.6" x14ac:dyDescent="0.25">
      <c r="A115" s="228" t="str">
        <f>+'Table 1'!A139:C139</f>
        <v>Item No. 36:-Providing assistance in collecting data
for preparation of voter list from relevanat</v>
      </c>
      <c r="B115" s="229">
        <f>+'Table 1'!B139:D139</f>
        <v>0</v>
      </c>
      <c r="C115" s="229">
        <f>+'Table 1'!C139:E139</f>
        <v>0</v>
      </c>
      <c r="D115" s="229" t="str">
        <f>+'Table 1'!D139:F139</f>
        <v>Ha. CCA</v>
      </c>
      <c r="E115" s="229">
        <f>+'Table 1'!E139:G139</f>
        <v>41.6</v>
      </c>
      <c r="F115" s="229">
        <f>+'Table 1'!F139:H139</f>
        <v>124.95</v>
      </c>
      <c r="G115" s="229">
        <f>+'Table 1'!G139:I139</f>
        <v>149.06</v>
      </c>
      <c r="H115" s="229">
        <f>+'Table 1'!H139:J139</f>
        <v>47.61</v>
      </c>
      <c r="I115" s="229">
        <f>+'Table 1'!I139:K139</f>
        <v>58.72</v>
      </c>
      <c r="J115" s="229">
        <f>+'Table 1'!J139:L139</f>
        <v>454.04</v>
      </c>
      <c r="K115" s="229">
        <f>+'Table 1'!K139:M139</f>
        <v>529.95000000000005</v>
      </c>
      <c r="L115" s="229">
        <f>+'Table 1'!L139:N139</f>
        <v>52.19</v>
      </c>
      <c r="M115" s="229">
        <f>+'Table 1'!M139:O139</f>
        <v>77.92</v>
      </c>
      <c r="N115" s="229">
        <f>+'Table 1'!N139:P139</f>
        <v>164.88</v>
      </c>
      <c r="O115" s="229">
        <f>+'Table 1'!O139:Q139</f>
        <v>222.49</v>
      </c>
      <c r="P115" s="229">
        <f>+'Table 1'!P139:R139</f>
        <v>493.5</v>
      </c>
      <c r="Q115" s="229">
        <f>+'Table 1'!Q139:S139</f>
        <v>636.46</v>
      </c>
      <c r="R115" s="229">
        <f>+'Table 1'!R139:T139</f>
        <v>133.58000000000001</v>
      </c>
      <c r="S115" s="229">
        <f>+'Table 1'!S139:U139</f>
        <v>161.19</v>
      </c>
      <c r="T115" s="229">
        <f>+'Table 1'!T139:V139</f>
        <v>0</v>
      </c>
      <c r="U115" s="229">
        <f>+'Table 1'!U139:W139</f>
        <v>0</v>
      </c>
      <c r="V115" s="229">
        <f>+'Table 1'!V139:X139</f>
        <v>1470.75</v>
      </c>
      <c r="W115" s="229">
        <f>+'Table 1'!W139:Y139</f>
        <v>61183.200000000004</v>
      </c>
      <c r="X115" s="229">
        <f>+'Table 1'!X139:Z139</f>
        <v>1835.79</v>
      </c>
      <c r="Y115" s="229">
        <f>+'Table 1'!Y139:AA139</f>
        <v>76368.864000000001</v>
      </c>
      <c r="Z115" s="229">
        <f>+'Table 1'!Z139:AB139</f>
        <v>15185.663999999997</v>
      </c>
      <c r="AB115" s="239">
        <f t="shared" si="17"/>
        <v>6200.8960000000006</v>
      </c>
      <c r="AC115" s="239">
        <f t="shared" si="9"/>
        <v>2442.752</v>
      </c>
      <c r="AD115" s="239">
        <f t="shared" si="10"/>
        <v>22045.920000000002</v>
      </c>
      <c r="AE115" s="239">
        <f t="shared" si="11"/>
        <v>3241.4720000000002</v>
      </c>
      <c r="AF115" s="239">
        <f t="shared" si="12"/>
        <v>9255.5840000000007</v>
      </c>
      <c r="AG115" s="239">
        <f t="shared" si="13"/>
        <v>26476.736000000001</v>
      </c>
      <c r="AH115" s="239">
        <f t="shared" si="14"/>
        <v>6705.5039999999999</v>
      </c>
      <c r="AI115" s="239"/>
      <c r="AJ115" s="239">
        <f t="shared" si="15"/>
        <v>76368.864000000001</v>
      </c>
      <c r="AK115" s="238">
        <f>+'Table 1'!Y139</f>
        <v>76368.864000000001</v>
      </c>
      <c r="AL115" s="20">
        <f t="shared" si="16"/>
        <v>0</v>
      </c>
    </row>
    <row r="116" spans="1:38" ht="27.6" x14ac:dyDescent="0.25">
      <c r="A116" s="228" t="str">
        <f>+'Table 1'!A140:C140</f>
        <v>Item No. 37:-Five year operation maintenance, and
repair  and  of pipe distribution network ,consists of</v>
      </c>
      <c r="B116" s="229">
        <f>+'Table 1'!B140:D140</f>
        <v>0</v>
      </c>
      <c r="C116" s="229">
        <f>+'Table 1'!C140:E140</f>
        <v>0</v>
      </c>
      <c r="D116" s="229">
        <f>+'Table 1'!D140:F140</f>
        <v>0</v>
      </c>
      <c r="E116" s="229">
        <f>+'Table 1'!E140:G140</f>
        <v>0</v>
      </c>
      <c r="F116" s="229">
        <f>+'Table 1'!F140:H140</f>
        <v>0</v>
      </c>
      <c r="G116" s="229">
        <f>+'Table 1'!G140:I140</f>
        <v>0</v>
      </c>
      <c r="H116" s="229">
        <f>+'Table 1'!H140:J140</f>
        <v>0</v>
      </c>
      <c r="I116" s="229">
        <f>+'Table 1'!I140:K140</f>
        <v>0</v>
      </c>
      <c r="J116" s="229">
        <f>+'Table 1'!J140:L140</f>
        <v>0</v>
      </c>
      <c r="K116" s="229">
        <f>+'Table 1'!K140:M140</f>
        <v>0</v>
      </c>
      <c r="L116" s="229">
        <f>+'Table 1'!L140:N140</f>
        <v>0</v>
      </c>
      <c r="M116" s="229">
        <f>+'Table 1'!M140:O140</f>
        <v>0</v>
      </c>
      <c r="N116" s="229">
        <f>+'Table 1'!N140:P140</f>
        <v>0</v>
      </c>
      <c r="O116" s="229">
        <f>+'Table 1'!O140:Q140</f>
        <v>0</v>
      </c>
      <c r="P116" s="229">
        <f>+'Table 1'!P140:R140</f>
        <v>0</v>
      </c>
      <c r="Q116" s="229">
        <f>+'Table 1'!Q140:S140</f>
        <v>0</v>
      </c>
      <c r="R116" s="229">
        <f>+'Table 1'!R140:T140</f>
        <v>0</v>
      </c>
      <c r="S116" s="229">
        <f>+'Table 1'!S140:U140</f>
        <v>0</v>
      </c>
      <c r="T116" s="229">
        <f>+'Table 1'!T140:V140</f>
        <v>0</v>
      </c>
      <c r="U116" s="229">
        <f>+'Table 1'!U140:W140</f>
        <v>0</v>
      </c>
      <c r="V116" s="229">
        <f>+'Table 1'!V140:X140</f>
        <v>0</v>
      </c>
      <c r="W116" s="229">
        <f>+'Table 1'!W140:Y140</f>
        <v>1133506.2479310883</v>
      </c>
      <c r="X116" s="229">
        <f>+'Table 1'!X140:Z140</f>
        <v>0</v>
      </c>
      <c r="Y116" s="229">
        <f>+'Table 1'!Y140:AA140</f>
        <v>1213874.2462272712</v>
      </c>
      <c r="Z116" s="229">
        <f>+'Table 1'!Z140:AB140</f>
        <v>80367.998296182835</v>
      </c>
      <c r="AB116" s="240">
        <f>+SUM(AB4:AB115)*0.004</f>
        <v>117530.41624303425</v>
      </c>
      <c r="AC116" s="240">
        <f t="shared" ref="AC116:AH116" si="18">+SUM(AC4:AC115)*0.004</f>
        <v>31964.69008800001</v>
      </c>
      <c r="AD116" s="240">
        <f t="shared" si="18"/>
        <v>386679.9010202022</v>
      </c>
      <c r="AE116" s="240">
        <f t="shared" si="18"/>
        <v>48596.768577315197</v>
      </c>
      <c r="AF116" s="240">
        <f t="shared" si="18"/>
        <v>130910.62803132087</v>
      </c>
      <c r="AG116" s="240">
        <f t="shared" si="18"/>
        <v>383397.21132000018</v>
      </c>
      <c r="AH116" s="240">
        <f t="shared" si="18"/>
        <v>114794.63094739881</v>
      </c>
      <c r="AI116" s="239"/>
      <c r="AJ116" s="239">
        <f t="shared" si="15"/>
        <v>1213874.2462272714</v>
      </c>
      <c r="AK116" s="238">
        <f>+'Table 1'!Y140</f>
        <v>1213874.2462272712</v>
      </c>
      <c r="AL116" s="20">
        <f t="shared" si="16"/>
        <v>0</v>
      </c>
    </row>
    <row r="117" spans="1:38" ht="15.6" x14ac:dyDescent="0.25">
      <c r="A117" s="228" t="str">
        <f>+'Table 1'!A141:C141</f>
        <v>1 year</v>
      </c>
      <c r="B117" s="229">
        <f>+'Table 1'!B141:D141</f>
        <v>0</v>
      </c>
      <c r="C117" s="229" t="str">
        <f>+'Table 1'!C141:E141</f>
        <v>0.40 % of cost of work</v>
      </c>
      <c r="D117" s="229">
        <f>+'Table 1'!D141:F141</f>
        <v>0</v>
      </c>
      <c r="E117" s="229">
        <f>+'Table 1'!E141:G141</f>
        <v>1134362</v>
      </c>
      <c r="F117" s="229">
        <f>+'Table 1'!F141:H141</f>
        <v>0</v>
      </c>
      <c r="G117" s="229">
        <f>+'Table 1'!G141:I141</f>
        <v>0</v>
      </c>
      <c r="H117" s="229">
        <f>+'Table 1'!H141:J141</f>
        <v>0</v>
      </c>
      <c r="I117" s="229">
        <f>+'Table 1'!I141:K141</f>
        <v>0</v>
      </c>
      <c r="J117" s="229">
        <f>+'Table 1'!J141:L141</f>
        <v>0</v>
      </c>
      <c r="K117" s="229">
        <f>+'Table 1'!K141:M141</f>
        <v>0</v>
      </c>
      <c r="L117" s="229">
        <f>+'Table 1'!L141:N141</f>
        <v>0</v>
      </c>
      <c r="M117" s="229">
        <f>+'Table 1'!M141:O141</f>
        <v>0</v>
      </c>
      <c r="N117" s="229">
        <f>+'Table 1'!N141:P141</f>
        <v>0</v>
      </c>
      <c r="O117" s="229">
        <f>+'Table 1'!O141:Q141</f>
        <v>0</v>
      </c>
      <c r="P117" s="229">
        <f>+'Table 1'!P141:R141</f>
        <v>0</v>
      </c>
      <c r="Q117" s="229">
        <f>+'Table 1'!Q141:S141</f>
        <v>0</v>
      </c>
      <c r="R117" s="229">
        <f>+'Table 1'!R141:T141</f>
        <v>0</v>
      </c>
      <c r="S117" s="229">
        <f>+'Table 1'!S141:U141</f>
        <v>0</v>
      </c>
      <c r="T117" s="229">
        <f>+'Table 1'!T141:V141</f>
        <v>0</v>
      </c>
      <c r="U117" s="229">
        <f>+'Table 1'!U141:W141</f>
        <v>0</v>
      </c>
      <c r="V117" s="229">
        <f>+'Table 1'!V141:X141</f>
        <v>0</v>
      </c>
      <c r="W117" s="229">
        <f>+'Table 1'!W141:Y141</f>
        <v>1133506.2479310883</v>
      </c>
      <c r="X117" s="229">
        <f>+'Table 1'!X141:Z141</f>
        <v>0</v>
      </c>
      <c r="Y117" s="229">
        <f>+'Table 1'!Y141:AA141</f>
        <v>1213874.2462272712</v>
      </c>
      <c r="Z117" s="229">
        <f>+'Table 1'!Z141:AB141</f>
        <v>80367.998296182835</v>
      </c>
      <c r="AB117" s="239">
        <f>+$AB116</f>
        <v>117530.41624303425</v>
      </c>
      <c r="AC117" s="239">
        <f>+$AC116</f>
        <v>31964.69008800001</v>
      </c>
      <c r="AD117" s="239">
        <f>+$AD116</f>
        <v>386679.9010202022</v>
      </c>
      <c r="AE117" s="239">
        <f>+$AE116</f>
        <v>48596.768577315197</v>
      </c>
      <c r="AF117" s="239">
        <f>+$AF116</f>
        <v>130910.62803132087</v>
      </c>
      <c r="AG117" s="239">
        <f>+$AG116</f>
        <v>383397.21132000018</v>
      </c>
      <c r="AH117" s="239">
        <f>+$AH116</f>
        <v>114794.63094739881</v>
      </c>
      <c r="AI117" s="239"/>
      <c r="AJ117" s="239">
        <f t="shared" si="15"/>
        <v>1213874.2462272714</v>
      </c>
      <c r="AK117" s="238">
        <f>+'Table 1'!Y141</f>
        <v>1213874.2462272712</v>
      </c>
      <c r="AL117" s="20">
        <f t="shared" si="16"/>
        <v>0</v>
      </c>
    </row>
    <row r="118" spans="1:38" ht="15.6" x14ac:dyDescent="0.25">
      <c r="A118" s="228" t="str">
        <f>+'Table 1'!A142:C142</f>
        <v>2 year</v>
      </c>
      <c r="B118" s="229">
        <f>+'Table 1'!B142:D142</f>
        <v>0</v>
      </c>
      <c r="C118" s="229" t="str">
        <f>+'Table 1'!C142:E142</f>
        <v>0.40 % of cost of work</v>
      </c>
      <c r="D118" s="229">
        <f>+'Table 1'!D142:F142</f>
        <v>0</v>
      </c>
      <c r="E118" s="229">
        <f>+'Table 1'!E142:G142</f>
        <v>1134362</v>
      </c>
      <c r="F118" s="229">
        <f>+'Table 1'!F142:H142</f>
        <v>0</v>
      </c>
      <c r="G118" s="229">
        <f>+'Table 1'!G142:I142</f>
        <v>0</v>
      </c>
      <c r="H118" s="229">
        <f>+'Table 1'!H142:J142</f>
        <v>0</v>
      </c>
      <c r="I118" s="229">
        <f>+'Table 1'!I142:K142</f>
        <v>0</v>
      </c>
      <c r="J118" s="229">
        <f>+'Table 1'!J142:L142</f>
        <v>0</v>
      </c>
      <c r="K118" s="229">
        <f>+'Table 1'!K142:M142</f>
        <v>0</v>
      </c>
      <c r="L118" s="229">
        <f>+'Table 1'!L142:N142</f>
        <v>0</v>
      </c>
      <c r="M118" s="229">
        <f>+'Table 1'!M142:O142</f>
        <v>0</v>
      </c>
      <c r="N118" s="229">
        <f>+'Table 1'!N142:P142</f>
        <v>0</v>
      </c>
      <c r="O118" s="229">
        <f>+'Table 1'!O142:Q142</f>
        <v>0</v>
      </c>
      <c r="P118" s="229">
        <f>+'Table 1'!P142:R142</f>
        <v>0</v>
      </c>
      <c r="Q118" s="229">
        <f>+'Table 1'!Q142:S142</f>
        <v>0</v>
      </c>
      <c r="R118" s="229">
        <f>+'Table 1'!R142:T142</f>
        <v>0</v>
      </c>
      <c r="S118" s="229">
        <f>+'Table 1'!S142:U142</f>
        <v>0</v>
      </c>
      <c r="T118" s="229">
        <f>+'Table 1'!T142:V142</f>
        <v>0</v>
      </c>
      <c r="U118" s="229">
        <f>+'Table 1'!U142:W142</f>
        <v>0</v>
      </c>
      <c r="V118" s="229">
        <f>+'Table 1'!V142:X142</f>
        <v>0</v>
      </c>
      <c r="W118" s="229">
        <f>+'Table 1'!W142:Y142</f>
        <v>1133506.2479310883</v>
      </c>
      <c r="X118" s="229">
        <f>+'Table 1'!X142:Z142</f>
        <v>0</v>
      </c>
      <c r="Y118" s="229">
        <f>+'Table 1'!Y142:AA142</f>
        <v>1213874.2462272712</v>
      </c>
      <c r="Z118" s="229">
        <f>+'Table 1'!Z142:AB142</f>
        <v>80367.998296182835</v>
      </c>
      <c r="AB118" s="239">
        <f>+$AB117</f>
        <v>117530.41624303425</v>
      </c>
      <c r="AC118" s="239">
        <f t="shared" ref="AC118:AC121" si="19">+$AC117</f>
        <v>31964.69008800001</v>
      </c>
      <c r="AD118" s="239">
        <f t="shared" ref="AD118:AD121" si="20">+$AD117</f>
        <v>386679.9010202022</v>
      </c>
      <c r="AE118" s="239">
        <f t="shared" ref="AE118:AE121" si="21">+$AE117</f>
        <v>48596.768577315197</v>
      </c>
      <c r="AF118" s="239">
        <f t="shared" ref="AF118:AF121" si="22">+$AF117</f>
        <v>130910.62803132087</v>
      </c>
      <c r="AG118" s="239">
        <f t="shared" ref="AG118:AG121" si="23">+$AG117</f>
        <v>383397.21132000018</v>
      </c>
      <c r="AH118" s="239">
        <f t="shared" ref="AH118:AH121" si="24">+$AH117</f>
        <v>114794.63094739881</v>
      </c>
      <c r="AI118" s="239"/>
      <c r="AJ118" s="239">
        <f t="shared" si="15"/>
        <v>1213874.2462272714</v>
      </c>
      <c r="AK118" s="238">
        <f>+'Table 1'!Y142</f>
        <v>1213874.2462272712</v>
      </c>
      <c r="AL118" s="20">
        <f t="shared" si="16"/>
        <v>0</v>
      </c>
    </row>
    <row r="119" spans="1:38" ht="15.6" x14ac:dyDescent="0.25">
      <c r="A119" s="228" t="str">
        <f>+'Table 1'!A143:C143</f>
        <v>3 year</v>
      </c>
      <c r="B119" s="229">
        <f>+'Table 1'!B143:D143</f>
        <v>0</v>
      </c>
      <c r="C119" s="229" t="str">
        <f>+'Table 1'!C143:E143</f>
        <v>0.40 % of cost of work</v>
      </c>
      <c r="D119" s="229">
        <f>+'Table 1'!D143:F143</f>
        <v>0</v>
      </c>
      <c r="E119" s="229">
        <f>+'Table 1'!E143:G143</f>
        <v>1134362</v>
      </c>
      <c r="F119" s="229">
        <f>+'Table 1'!F143:H143</f>
        <v>0</v>
      </c>
      <c r="G119" s="229">
        <f>+'Table 1'!G143:I143</f>
        <v>0</v>
      </c>
      <c r="H119" s="229">
        <f>+'Table 1'!H143:J143</f>
        <v>0</v>
      </c>
      <c r="I119" s="229">
        <f>+'Table 1'!I143:K143</f>
        <v>0</v>
      </c>
      <c r="J119" s="229">
        <f>+'Table 1'!J143:L143</f>
        <v>0</v>
      </c>
      <c r="K119" s="229">
        <f>+'Table 1'!K143:M143</f>
        <v>0</v>
      </c>
      <c r="L119" s="229">
        <f>+'Table 1'!L143:N143</f>
        <v>0</v>
      </c>
      <c r="M119" s="229">
        <f>+'Table 1'!M143:O143</f>
        <v>0</v>
      </c>
      <c r="N119" s="229">
        <f>+'Table 1'!N143:P143</f>
        <v>0</v>
      </c>
      <c r="O119" s="229">
        <f>+'Table 1'!O143:Q143</f>
        <v>0</v>
      </c>
      <c r="P119" s="229">
        <f>+'Table 1'!P143:R143</f>
        <v>0</v>
      </c>
      <c r="Q119" s="229">
        <f>+'Table 1'!Q143:S143</f>
        <v>0</v>
      </c>
      <c r="R119" s="229">
        <f>+'Table 1'!R143:T143</f>
        <v>0</v>
      </c>
      <c r="S119" s="229">
        <f>+'Table 1'!S143:U143</f>
        <v>0</v>
      </c>
      <c r="T119" s="229">
        <f>+'Table 1'!T143:V143</f>
        <v>0</v>
      </c>
      <c r="U119" s="229">
        <f>+'Table 1'!U143:W143</f>
        <v>0</v>
      </c>
      <c r="V119" s="229">
        <f>+'Table 1'!V143:X143</f>
        <v>0</v>
      </c>
      <c r="W119" s="229">
        <f>+'Table 1'!W143:Y143</f>
        <v>1133506.2479310883</v>
      </c>
      <c r="X119" s="229">
        <f>+'Table 1'!X143:Z143</f>
        <v>0</v>
      </c>
      <c r="Y119" s="229">
        <f>+'Table 1'!Y143:AA143</f>
        <v>1213874.2462272712</v>
      </c>
      <c r="Z119" s="229">
        <f>+'Table 1'!Z143:AB143</f>
        <v>80367.998296182835</v>
      </c>
      <c r="AB119" s="239">
        <f>+$AB118</f>
        <v>117530.41624303425</v>
      </c>
      <c r="AC119" s="239">
        <f t="shared" si="19"/>
        <v>31964.69008800001</v>
      </c>
      <c r="AD119" s="239">
        <f t="shared" si="20"/>
        <v>386679.9010202022</v>
      </c>
      <c r="AE119" s="239">
        <f t="shared" si="21"/>
        <v>48596.768577315197</v>
      </c>
      <c r="AF119" s="239">
        <f t="shared" si="22"/>
        <v>130910.62803132087</v>
      </c>
      <c r="AG119" s="239">
        <f t="shared" si="23"/>
        <v>383397.21132000018</v>
      </c>
      <c r="AH119" s="239">
        <f t="shared" si="24"/>
        <v>114794.63094739881</v>
      </c>
      <c r="AI119" s="239"/>
      <c r="AJ119" s="239">
        <f t="shared" si="15"/>
        <v>1213874.2462272714</v>
      </c>
      <c r="AK119" s="238">
        <f>+'Table 1'!Y143</f>
        <v>1213874.2462272712</v>
      </c>
      <c r="AL119" s="20">
        <f t="shared" si="16"/>
        <v>0</v>
      </c>
    </row>
    <row r="120" spans="1:38" ht="15.6" x14ac:dyDescent="0.25">
      <c r="A120" s="228" t="str">
        <f>+'Table 1'!A144:C144</f>
        <v>4 year</v>
      </c>
      <c r="B120" s="229">
        <f>+'Table 1'!B144:D144</f>
        <v>0</v>
      </c>
      <c r="C120" s="229" t="str">
        <f>+'Table 1'!C144:E144</f>
        <v>0.40 % of cost of work</v>
      </c>
      <c r="D120" s="229">
        <f>+'Table 1'!D144:F144</f>
        <v>0</v>
      </c>
      <c r="E120" s="229">
        <f>+'Table 1'!E144:G144</f>
        <v>1134362</v>
      </c>
      <c r="F120" s="229">
        <f>+'Table 1'!F144:H144</f>
        <v>0</v>
      </c>
      <c r="G120" s="229">
        <f>+'Table 1'!G144:I144</f>
        <v>0</v>
      </c>
      <c r="H120" s="229">
        <f>+'Table 1'!H144:J144</f>
        <v>0</v>
      </c>
      <c r="I120" s="229">
        <f>+'Table 1'!I144:K144</f>
        <v>0</v>
      </c>
      <c r="J120" s="229">
        <f>+'Table 1'!J144:L144</f>
        <v>0</v>
      </c>
      <c r="K120" s="229">
        <f>+'Table 1'!K144:M144</f>
        <v>0</v>
      </c>
      <c r="L120" s="229">
        <f>+'Table 1'!L144:N144</f>
        <v>0</v>
      </c>
      <c r="M120" s="229">
        <f>+'Table 1'!M144:O144</f>
        <v>0</v>
      </c>
      <c r="N120" s="229">
        <f>+'Table 1'!N144:P144</f>
        <v>0</v>
      </c>
      <c r="O120" s="229">
        <f>+'Table 1'!O144:Q144</f>
        <v>0</v>
      </c>
      <c r="P120" s="229">
        <f>+'Table 1'!P144:R144</f>
        <v>0</v>
      </c>
      <c r="Q120" s="229">
        <f>+'Table 1'!Q144:S144</f>
        <v>0</v>
      </c>
      <c r="R120" s="229">
        <f>+'Table 1'!R144:T144</f>
        <v>0</v>
      </c>
      <c r="S120" s="229">
        <f>+'Table 1'!S144:U144</f>
        <v>0</v>
      </c>
      <c r="T120" s="229">
        <f>+'Table 1'!T144:V144</f>
        <v>0</v>
      </c>
      <c r="U120" s="229">
        <f>+'Table 1'!U144:W144</f>
        <v>0</v>
      </c>
      <c r="V120" s="229">
        <f>+'Table 1'!V144:X144</f>
        <v>0</v>
      </c>
      <c r="W120" s="229">
        <f>+'Table 1'!W144:Y144</f>
        <v>1133506.2479310883</v>
      </c>
      <c r="X120" s="229">
        <f>+'Table 1'!X144:Z144</f>
        <v>0</v>
      </c>
      <c r="Y120" s="229">
        <f>+'Table 1'!Y144:AA144</f>
        <v>1213874.2462272712</v>
      </c>
      <c r="Z120" s="229">
        <f>+'Table 1'!Z144:AB144</f>
        <v>80367.998296182835</v>
      </c>
      <c r="AB120" s="239">
        <f>+$AB119</f>
        <v>117530.41624303425</v>
      </c>
      <c r="AC120" s="239">
        <f t="shared" si="19"/>
        <v>31964.69008800001</v>
      </c>
      <c r="AD120" s="239">
        <f t="shared" si="20"/>
        <v>386679.9010202022</v>
      </c>
      <c r="AE120" s="239">
        <f t="shared" si="21"/>
        <v>48596.768577315197</v>
      </c>
      <c r="AF120" s="239">
        <f t="shared" si="22"/>
        <v>130910.62803132087</v>
      </c>
      <c r="AG120" s="239">
        <f t="shared" si="23"/>
        <v>383397.21132000018</v>
      </c>
      <c r="AH120" s="239">
        <f t="shared" si="24"/>
        <v>114794.63094739881</v>
      </c>
      <c r="AI120" s="239"/>
      <c r="AJ120" s="239">
        <f t="shared" si="15"/>
        <v>1213874.2462272714</v>
      </c>
      <c r="AK120" s="238">
        <f>+'Table 1'!Y144</f>
        <v>1213874.2462272712</v>
      </c>
      <c r="AL120" s="20">
        <f t="shared" si="16"/>
        <v>0</v>
      </c>
    </row>
    <row r="121" spans="1:38" ht="15.6" x14ac:dyDescent="0.25">
      <c r="A121" s="228" t="str">
        <f>+'Table 1'!A145:C145</f>
        <v>5 year</v>
      </c>
      <c r="B121" s="229">
        <f>+'Table 1'!B145:D145</f>
        <v>0</v>
      </c>
      <c r="C121" s="229" t="str">
        <f>+'Table 1'!C145:E145</f>
        <v>0.40 % of cost of work</v>
      </c>
      <c r="D121" s="229">
        <f>+'Table 1'!D145:F145</f>
        <v>0</v>
      </c>
      <c r="E121" s="229">
        <f>+'Table 1'!E145:G145</f>
        <v>1134362</v>
      </c>
      <c r="F121" s="229">
        <f>+'Table 1'!F145:H145</f>
        <v>0</v>
      </c>
      <c r="G121" s="229">
        <f>+'Table 1'!G145:I145</f>
        <v>0</v>
      </c>
      <c r="H121" s="229">
        <f>+'Table 1'!H145:J145</f>
        <v>0</v>
      </c>
      <c r="I121" s="229">
        <f>+'Table 1'!I145:K145</f>
        <v>0</v>
      </c>
      <c r="J121" s="229">
        <f>+'Table 1'!J145:L145</f>
        <v>0</v>
      </c>
      <c r="K121" s="229">
        <f>+'Table 1'!K145:M145</f>
        <v>0</v>
      </c>
      <c r="L121" s="229">
        <f>+'Table 1'!L145:N145</f>
        <v>0</v>
      </c>
      <c r="M121" s="229">
        <f>+'Table 1'!M145:O145</f>
        <v>0</v>
      </c>
      <c r="N121" s="229">
        <f>+'Table 1'!N145:P145</f>
        <v>0</v>
      </c>
      <c r="O121" s="229">
        <f>+'Table 1'!O145:Q145</f>
        <v>0</v>
      </c>
      <c r="P121" s="229">
        <f>+'Table 1'!P145:R145</f>
        <v>0</v>
      </c>
      <c r="Q121" s="229">
        <f>+'Table 1'!Q145:S145</f>
        <v>0</v>
      </c>
      <c r="R121" s="229">
        <f>+'Table 1'!R145:T145</f>
        <v>0</v>
      </c>
      <c r="S121" s="229">
        <f>+'Table 1'!S145:U145</f>
        <v>0</v>
      </c>
      <c r="T121" s="229">
        <f>+'Table 1'!T145:V145</f>
        <v>0</v>
      </c>
      <c r="U121" s="229">
        <f>+'Table 1'!U145:W145</f>
        <v>0</v>
      </c>
      <c r="V121" s="229">
        <f>+'Table 1'!V145:X145</f>
        <v>0</v>
      </c>
      <c r="W121" s="229">
        <f>+'Table 1'!W145:Y145</f>
        <v>1133506.2479310883</v>
      </c>
      <c r="X121" s="229">
        <f>+'Table 1'!X145:Z145</f>
        <v>0</v>
      </c>
      <c r="Y121" s="229">
        <f>+'Table 1'!Y145:AA145</f>
        <v>1213874.2462272712</v>
      </c>
      <c r="Z121" s="229">
        <f>+'Table 1'!Z145:AB145</f>
        <v>80367.998296182835</v>
      </c>
      <c r="AB121" s="239">
        <f>+$AB120</f>
        <v>117530.41624303425</v>
      </c>
      <c r="AC121" s="239">
        <f t="shared" si="19"/>
        <v>31964.69008800001</v>
      </c>
      <c r="AD121" s="239">
        <f t="shared" si="20"/>
        <v>386679.9010202022</v>
      </c>
      <c r="AE121" s="239">
        <f t="shared" si="21"/>
        <v>48596.768577315197</v>
      </c>
      <c r="AF121" s="239">
        <f t="shared" si="22"/>
        <v>130910.62803132087</v>
      </c>
      <c r="AG121" s="239">
        <f t="shared" si="23"/>
        <v>383397.21132000018</v>
      </c>
      <c r="AH121" s="239">
        <f t="shared" si="24"/>
        <v>114794.63094739881</v>
      </c>
      <c r="AI121" s="239"/>
      <c r="AJ121" s="239">
        <f t="shared" si="15"/>
        <v>1213874.2462272714</v>
      </c>
      <c r="AK121" s="238">
        <f>+'Table 1'!Y145</f>
        <v>1213874.2462272712</v>
      </c>
      <c r="AL121" s="20">
        <f t="shared" si="16"/>
        <v>0</v>
      </c>
    </row>
    <row r="122" spans="1:38" ht="15.6" x14ac:dyDescent="0.25">
      <c r="A122" s="205">
        <f>+'Table 1'!A146:C146</f>
        <v>0</v>
      </c>
      <c r="B122" s="204">
        <f>+'Table 1'!B146:D146</f>
        <v>0</v>
      </c>
      <c r="C122" s="204">
        <f>+'Table 1'!C146:E146</f>
        <v>0</v>
      </c>
      <c r="D122" s="204">
        <f>+'Table 1'!D146:F146</f>
        <v>0</v>
      </c>
      <c r="E122" s="204">
        <f>+'Table 1'!E146:G146</f>
        <v>0</v>
      </c>
      <c r="F122" s="204">
        <f>+'Table 1'!F146:H146</f>
        <v>0</v>
      </c>
      <c r="G122" s="204">
        <f>+'Table 1'!G146:I146</f>
        <v>0</v>
      </c>
      <c r="H122" s="204">
        <f>+'Table 1'!H146:J146</f>
        <v>0</v>
      </c>
      <c r="I122" s="204">
        <f>+'Table 1'!I146:K146</f>
        <v>0</v>
      </c>
      <c r="J122" s="204">
        <f>+'Table 1'!J146:L146</f>
        <v>0</v>
      </c>
      <c r="K122" s="204">
        <f>+'Table 1'!K146:M146</f>
        <v>0</v>
      </c>
      <c r="L122" s="204">
        <f>+'Table 1'!L146:N146</f>
        <v>0</v>
      </c>
      <c r="M122" s="204">
        <f>+'Table 1'!M146:O146</f>
        <v>0</v>
      </c>
      <c r="N122" s="204">
        <f>+'Table 1'!N146:P146</f>
        <v>0</v>
      </c>
      <c r="O122" s="204">
        <f>+'Table 1'!O146:Q146</f>
        <v>0</v>
      </c>
      <c r="P122" s="204">
        <f>+'Table 1'!P146:R146</f>
        <v>0</v>
      </c>
      <c r="Q122" s="204">
        <f>+'Table 1'!Q146:S146</f>
        <v>0</v>
      </c>
      <c r="R122" s="204">
        <f>+'Table 1'!R146:T146</f>
        <v>0</v>
      </c>
      <c r="S122" s="204">
        <f>+'Table 1'!S146:U146</f>
        <v>0</v>
      </c>
      <c r="T122" s="204">
        <f>+'Table 1'!T146:V146</f>
        <v>0</v>
      </c>
      <c r="U122" s="204">
        <f>+'Table 1'!U146:W146</f>
        <v>0</v>
      </c>
      <c r="V122" s="204">
        <f>+'Table 1'!V146:X146</f>
        <v>0</v>
      </c>
      <c r="W122" s="204">
        <f>+'Table 1'!W146:Y146</f>
        <v>290177599.47035843</v>
      </c>
      <c r="X122" s="204">
        <f>+'Table 1'!X146:Z146</f>
        <v>0</v>
      </c>
      <c r="Y122" s="204">
        <f>+'Table 1'!Y146:AA146</f>
        <v>310751807.03418136</v>
      </c>
      <c r="Z122" s="204">
        <f>+'Table 1'!Z146:AB146</f>
        <v>0</v>
      </c>
      <c r="AB122" s="243">
        <f>SUM(AB4:AB121)</f>
        <v>30087786.558216777</v>
      </c>
      <c r="AC122" s="243">
        <f t="shared" ref="AC122:AJ122" si="25">SUM(AC4:AC121)</f>
        <v>8182960.6625280036</v>
      </c>
      <c r="AD122" s="243">
        <f t="shared" si="25"/>
        <v>98990054.661171749</v>
      </c>
      <c r="AE122" s="243">
        <f t="shared" si="25"/>
        <v>12440772.755792689</v>
      </c>
      <c r="AF122" s="243">
        <f t="shared" si="25"/>
        <v>33513120.776018143</v>
      </c>
      <c r="AG122" s="243">
        <f t="shared" si="25"/>
        <v>98149686.09792003</v>
      </c>
      <c r="AH122" s="243">
        <f t="shared" si="25"/>
        <v>29387425.522534102</v>
      </c>
      <c r="AI122" s="241">
        <f t="shared" si="25"/>
        <v>0</v>
      </c>
      <c r="AJ122" s="241">
        <f t="shared" si="25"/>
        <v>310751807.03418136</v>
      </c>
      <c r="AL122" s="20">
        <f t="shared" si="16"/>
        <v>-310751807.03418136</v>
      </c>
    </row>
    <row r="123" spans="1:38" ht="15.6" x14ac:dyDescent="0.25">
      <c r="A123" s="205">
        <f>+'Table 1'!A147:C147</f>
        <v>0</v>
      </c>
      <c r="B123" s="204">
        <f>+'Table 1'!B147:D147</f>
        <v>0</v>
      </c>
      <c r="C123" s="204">
        <f>+'Table 1'!C147:E147</f>
        <v>0</v>
      </c>
      <c r="D123" s="204">
        <f>+'Table 1'!D147:F147</f>
        <v>0</v>
      </c>
      <c r="E123" s="204">
        <f>+'Table 1'!E147:G147</f>
        <v>0</v>
      </c>
      <c r="F123" s="204">
        <f>+'Table 1'!F147:H147</f>
        <v>0</v>
      </c>
      <c r="G123" s="204">
        <f>+'Table 1'!G147:I147</f>
        <v>0</v>
      </c>
      <c r="H123" s="204">
        <f>+'Table 1'!H147:J147</f>
        <v>0</v>
      </c>
      <c r="I123" s="204">
        <f>+'Table 1'!I147:K147</f>
        <v>0</v>
      </c>
      <c r="J123" s="204">
        <f>+'Table 1'!J147:L147</f>
        <v>0</v>
      </c>
      <c r="K123" s="204">
        <f>+'Table 1'!K147:M147</f>
        <v>0</v>
      </c>
      <c r="L123" s="204">
        <f>+'Table 1'!L147:N147</f>
        <v>0</v>
      </c>
      <c r="M123" s="204">
        <f>+'Table 1'!M147:O147</f>
        <v>0</v>
      </c>
      <c r="N123" s="204">
        <f>+'Table 1'!N147:P147</f>
        <v>0</v>
      </c>
      <c r="O123" s="204">
        <f>+'Table 1'!O147:Q147</f>
        <v>0</v>
      </c>
      <c r="P123" s="204">
        <f>+'Table 1'!P147:R147</f>
        <v>0</v>
      </c>
      <c r="Q123" s="204">
        <f>+'Table 1'!Q147:S147</f>
        <v>0</v>
      </c>
      <c r="R123" s="204">
        <f>+'Table 1'!R147:T147</f>
        <v>0</v>
      </c>
      <c r="S123" s="204">
        <f>+'Table 1'!S147:U147</f>
        <v>0</v>
      </c>
      <c r="T123" s="204">
        <f>+'Table 1'!T147:V147</f>
        <v>0</v>
      </c>
      <c r="U123" s="204">
        <f>+'Table 1'!U147:W147</f>
        <v>0</v>
      </c>
      <c r="V123" s="204">
        <f>+'Table 1'!V147:X147</f>
        <v>0</v>
      </c>
      <c r="W123" s="204">
        <f>+'Table 1'!W147:Y147</f>
        <v>0</v>
      </c>
      <c r="X123" s="204">
        <f>+'Table 1'!X147:Z147</f>
        <v>0</v>
      </c>
      <c r="Y123" s="204">
        <f>+'Table 1'!Y147:AA147</f>
        <v>20574207.563822925</v>
      </c>
      <c r="Z123" s="204">
        <f>+'Table 1'!Z147:AB147</f>
        <v>0</v>
      </c>
      <c r="AJ123">
        <f>+'Table 1'!Y146</f>
        <v>310751807.03418136</v>
      </c>
      <c r="AL123" s="20">
        <f t="shared" si="16"/>
        <v>-310751807.03418136</v>
      </c>
    </row>
    <row r="124" spans="1:38" x14ac:dyDescent="0.25">
      <c r="A124" s="206"/>
      <c r="B124" s="203"/>
      <c r="C124" s="203"/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  <c r="AJ124" s="20">
        <f>+AJ123-AJ122</f>
        <v>0</v>
      </c>
      <c r="AL124" s="20">
        <f t="shared" si="16"/>
        <v>0</v>
      </c>
    </row>
    <row r="125" spans="1:38" x14ac:dyDescent="0.25">
      <c r="A125" s="206"/>
      <c r="B125" s="203"/>
      <c r="C125" s="203"/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spans="1:38" x14ac:dyDescent="0.25">
      <c r="A126" s="206"/>
      <c r="B126" s="203"/>
      <c r="C126" s="203"/>
      <c r="D126" s="203"/>
      <c r="E126" s="203"/>
      <c r="F126" s="203"/>
      <c r="G126" s="203"/>
      <c r="H126" s="203"/>
      <c r="I126" s="203"/>
      <c r="J126" s="203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spans="1:38" x14ac:dyDescent="0.25">
      <c r="A127" s="206"/>
      <c r="B127" s="203"/>
      <c r="C127" s="203"/>
      <c r="D127" s="203"/>
      <c r="E127" s="203"/>
      <c r="F127" s="203"/>
      <c r="G127" s="203"/>
      <c r="H127" s="203"/>
      <c r="I127" s="203"/>
      <c r="J127" s="203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  <c r="AJ127">
        <v>289258871</v>
      </c>
    </row>
    <row r="128" spans="1:38" x14ac:dyDescent="0.25">
      <c r="A128" s="206"/>
      <c r="B128" s="203"/>
      <c r="C128" s="203"/>
      <c r="D128" s="203"/>
      <c r="E128" s="203"/>
      <c r="F128" s="203"/>
      <c r="G128" s="203"/>
      <c r="H128" s="203"/>
      <c r="I128" s="203"/>
      <c r="J128" s="203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  <c r="AJ128" s="20">
        <f>+AJ122-AJ127</f>
        <v>21492936.034181356</v>
      </c>
    </row>
    <row r="129" spans="1:26" x14ac:dyDescent="0.25">
      <c r="A129" s="206"/>
      <c r="B129" s="203"/>
      <c r="C129" s="203"/>
      <c r="D129" s="203"/>
      <c r="E129" s="203"/>
      <c r="F129" s="203"/>
      <c r="G129" s="203"/>
      <c r="H129" s="203"/>
      <c r="I129" s="203"/>
      <c r="J129" s="203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spans="1:26" x14ac:dyDescent="0.25">
      <c r="A130" s="206"/>
      <c r="B130" s="203"/>
      <c r="C130" s="203"/>
      <c r="D130" s="203"/>
      <c r="E130" s="203"/>
      <c r="F130" s="203"/>
      <c r="G130" s="203"/>
      <c r="H130" s="203"/>
      <c r="I130" s="203"/>
      <c r="J130" s="203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spans="1:26" x14ac:dyDescent="0.25">
      <c r="A131" s="206"/>
      <c r="B131" s="203"/>
      <c r="C131" s="203"/>
      <c r="D131" s="203"/>
      <c r="E131" s="203"/>
      <c r="F131" s="203"/>
      <c r="G131" s="203"/>
      <c r="H131" s="203"/>
      <c r="I131" s="203"/>
      <c r="J131" s="203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spans="1:26" x14ac:dyDescent="0.25">
      <c r="A132" s="206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spans="1:26" x14ac:dyDescent="0.25">
      <c r="A133" s="206"/>
      <c r="B133" s="203"/>
      <c r="C133" s="203"/>
      <c r="D133" s="203"/>
      <c r="E133" s="203"/>
      <c r="F133" s="203"/>
      <c r="G133" s="203"/>
      <c r="H133" s="203"/>
      <c r="I133" s="203"/>
      <c r="J133" s="203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spans="1:26" x14ac:dyDescent="0.25">
      <c r="A134" s="206"/>
      <c r="B134" s="203"/>
      <c r="C134" s="203"/>
      <c r="D134" s="203"/>
      <c r="E134" s="203"/>
      <c r="F134" s="203"/>
      <c r="G134" s="203"/>
      <c r="H134" s="203"/>
      <c r="I134" s="203"/>
      <c r="J134" s="203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spans="1:26" x14ac:dyDescent="0.25">
      <c r="A135" s="206"/>
      <c r="B135" s="203"/>
      <c r="C135" s="203"/>
      <c r="D135" s="203"/>
      <c r="E135" s="203"/>
      <c r="F135" s="203"/>
      <c r="G135" s="203"/>
      <c r="H135" s="203"/>
      <c r="I135" s="203"/>
      <c r="J135" s="203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spans="1:26" x14ac:dyDescent="0.25">
      <c r="A136" s="206"/>
      <c r="B136" s="203"/>
      <c r="C136" s="203"/>
      <c r="D136" s="203"/>
      <c r="E136" s="203"/>
      <c r="F136" s="203"/>
      <c r="G136" s="203"/>
      <c r="H136" s="203"/>
      <c r="I136" s="203"/>
      <c r="J136" s="203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spans="1:26" x14ac:dyDescent="0.25">
      <c r="A137" s="206"/>
      <c r="B137" s="203"/>
      <c r="C137" s="203"/>
      <c r="D137" s="203"/>
      <c r="E137" s="203"/>
      <c r="F137" s="203"/>
      <c r="G137" s="203"/>
      <c r="H137" s="203"/>
      <c r="I137" s="203"/>
      <c r="J137" s="203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spans="1:26" x14ac:dyDescent="0.25">
      <c r="A138" s="206"/>
      <c r="B138" s="203"/>
      <c r="C138" s="203"/>
      <c r="D138" s="203"/>
      <c r="E138" s="203"/>
      <c r="F138" s="203"/>
      <c r="G138" s="203"/>
      <c r="H138" s="203"/>
      <c r="I138" s="203"/>
      <c r="J138" s="203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spans="1:26" x14ac:dyDescent="0.25">
      <c r="A139" s="206"/>
      <c r="B139" s="203"/>
      <c r="C139" s="203"/>
      <c r="D139" s="203"/>
      <c r="E139" s="203"/>
      <c r="F139" s="203"/>
      <c r="G139" s="203"/>
      <c r="H139" s="203"/>
      <c r="I139" s="203"/>
      <c r="J139" s="203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spans="1:26" x14ac:dyDescent="0.25">
      <c r="A140" s="206"/>
      <c r="B140" s="203"/>
      <c r="C140" s="203"/>
      <c r="D140" s="203"/>
      <c r="E140" s="203"/>
      <c r="F140" s="203"/>
      <c r="G140" s="203"/>
      <c r="H140" s="203"/>
      <c r="I140" s="203"/>
      <c r="J140" s="203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spans="1:26" x14ac:dyDescent="0.25">
      <c r="A141" s="206"/>
      <c r="B141" s="203"/>
      <c r="C141" s="203"/>
      <c r="D141" s="203"/>
      <c r="E141" s="203"/>
      <c r="F141" s="203"/>
      <c r="G141" s="203"/>
      <c r="H141" s="203"/>
      <c r="I141" s="203"/>
      <c r="J141" s="203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spans="1:26" x14ac:dyDescent="0.25">
      <c r="A142" s="206"/>
      <c r="B142" s="203"/>
      <c r="C142" s="203"/>
      <c r="D142" s="203"/>
      <c r="E142" s="203"/>
      <c r="F142" s="203"/>
      <c r="G142" s="203"/>
      <c r="H142" s="203"/>
      <c r="I142" s="203"/>
      <c r="J142" s="203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spans="1:26" x14ac:dyDescent="0.25">
      <c r="A143" s="206"/>
      <c r="B143" s="203"/>
      <c r="C143" s="203"/>
      <c r="D143" s="203"/>
      <c r="E143" s="203"/>
      <c r="F143" s="203"/>
      <c r="G143" s="203"/>
      <c r="H143" s="203"/>
      <c r="I143" s="203"/>
      <c r="J143" s="203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spans="1:26" x14ac:dyDescent="0.25">
      <c r="A144" s="206"/>
      <c r="B144" s="203"/>
      <c r="C144" s="203"/>
      <c r="D144" s="203"/>
      <c r="E144" s="203"/>
      <c r="F144" s="203"/>
      <c r="G144" s="203"/>
      <c r="H144" s="203"/>
      <c r="I144" s="203"/>
      <c r="J144" s="203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spans="1:26" x14ac:dyDescent="0.25">
      <c r="A145" s="206"/>
      <c r="B145" s="203"/>
      <c r="C145" s="203"/>
      <c r="D145" s="203"/>
      <c r="E145" s="203"/>
      <c r="F145" s="203"/>
      <c r="G145" s="203"/>
      <c r="H145" s="203"/>
      <c r="I145" s="203"/>
      <c r="J145" s="203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spans="1:26" x14ac:dyDescent="0.25">
      <c r="A146" s="206"/>
      <c r="B146" s="203"/>
      <c r="C146" s="203"/>
      <c r="D146" s="203"/>
      <c r="E146" s="203"/>
      <c r="F146" s="203"/>
      <c r="G146" s="203"/>
      <c r="H146" s="203"/>
      <c r="I146" s="203"/>
      <c r="J146" s="203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spans="1:26" x14ac:dyDescent="0.25">
      <c r="A147" s="206"/>
      <c r="B147" s="203"/>
      <c r="C147" s="203"/>
      <c r="D147" s="203"/>
      <c r="E147" s="203"/>
      <c r="F147" s="203"/>
      <c r="G147" s="203"/>
      <c r="H147" s="203"/>
      <c r="I147" s="203"/>
      <c r="J147" s="203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spans="1:26" x14ac:dyDescent="0.25">
      <c r="A148" s="206"/>
      <c r="B148" s="203"/>
      <c r="C148" s="203"/>
      <c r="D148" s="203"/>
      <c r="E148" s="203"/>
      <c r="F148" s="203"/>
      <c r="G148" s="203"/>
      <c r="H148" s="203"/>
      <c r="I148" s="203"/>
      <c r="J148" s="203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spans="1:26" x14ac:dyDescent="0.25">
      <c r="A149" s="206"/>
      <c r="B149" s="203"/>
      <c r="C149" s="203"/>
      <c r="D149" s="203"/>
      <c r="E149" s="203"/>
      <c r="F149" s="203"/>
      <c r="G149" s="203"/>
      <c r="H149" s="203"/>
      <c r="I149" s="203"/>
      <c r="J149" s="203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spans="1:26" x14ac:dyDescent="0.25">
      <c r="A150" s="206"/>
      <c r="B150" s="203"/>
      <c r="C150" s="203"/>
      <c r="D150" s="203"/>
      <c r="E150" s="203"/>
      <c r="F150" s="203"/>
      <c r="G150" s="203"/>
      <c r="H150" s="203"/>
      <c r="I150" s="203"/>
      <c r="J150" s="203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spans="1:26" x14ac:dyDescent="0.25">
      <c r="A151" s="206"/>
      <c r="B151" s="203"/>
      <c r="C151" s="203"/>
      <c r="D151" s="203"/>
      <c r="E151" s="203"/>
      <c r="F151" s="203"/>
      <c r="G151" s="203"/>
      <c r="H151" s="203"/>
      <c r="I151" s="203"/>
      <c r="J151" s="203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spans="1:26" x14ac:dyDescent="0.25">
      <c r="A152" s="206"/>
      <c r="B152" s="203"/>
      <c r="C152" s="203"/>
      <c r="D152" s="203"/>
      <c r="E152" s="203"/>
      <c r="F152" s="203"/>
      <c r="G152" s="203"/>
      <c r="H152" s="203"/>
      <c r="I152" s="203"/>
      <c r="J152" s="203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spans="1:26" x14ac:dyDescent="0.25">
      <c r="A153" s="206"/>
      <c r="B153" s="203"/>
      <c r="C153" s="203"/>
      <c r="D153" s="203"/>
      <c r="E153" s="203"/>
      <c r="F153" s="203"/>
      <c r="G153" s="203"/>
      <c r="H153" s="203"/>
      <c r="I153" s="203"/>
      <c r="J153" s="203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spans="1:26" x14ac:dyDescent="0.25">
      <c r="A154" s="206"/>
      <c r="B154" s="203"/>
      <c r="C154" s="203"/>
      <c r="D154" s="203"/>
      <c r="E154" s="203"/>
      <c r="F154" s="203"/>
      <c r="G154" s="203"/>
      <c r="H154" s="203"/>
      <c r="I154" s="203"/>
      <c r="J154" s="203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spans="1:26" x14ac:dyDescent="0.25">
      <c r="A155" s="206"/>
      <c r="B155" s="203"/>
      <c r="C155" s="203"/>
      <c r="D155" s="203"/>
      <c r="E155" s="203"/>
      <c r="F155" s="203"/>
      <c r="G155" s="203"/>
      <c r="H155" s="203"/>
      <c r="I155" s="203"/>
      <c r="J155" s="203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spans="1:26" x14ac:dyDescent="0.25">
      <c r="A156" s="206"/>
      <c r="B156" s="203"/>
      <c r="C156" s="203"/>
      <c r="D156" s="203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spans="1:26" x14ac:dyDescent="0.25">
      <c r="A157" s="206"/>
      <c r="B157" s="203"/>
      <c r="C157" s="203"/>
      <c r="D157" s="203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spans="1:26" x14ac:dyDescent="0.25">
      <c r="A158" s="206"/>
      <c r="B158" s="203"/>
      <c r="C158" s="203"/>
      <c r="D158" s="203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spans="1:26" x14ac:dyDescent="0.25">
      <c r="A159" s="206"/>
      <c r="B159" s="203"/>
      <c r="C159" s="203"/>
      <c r="D159" s="203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spans="1:26" x14ac:dyDescent="0.25">
      <c r="A160" s="206"/>
      <c r="B160" s="203"/>
      <c r="C160" s="203"/>
      <c r="D160" s="203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spans="1:26" x14ac:dyDescent="0.25">
      <c r="A161" s="206"/>
      <c r="B161" s="203"/>
      <c r="C161" s="203"/>
      <c r="D161" s="203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spans="1:26" x14ac:dyDescent="0.25">
      <c r="A162" s="206"/>
      <c r="B162" s="203"/>
      <c r="C162" s="203"/>
      <c r="D162" s="203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spans="1:26" x14ac:dyDescent="0.25">
      <c r="A163" s="206"/>
      <c r="B163" s="203"/>
      <c r="C163" s="203"/>
      <c r="D163" s="203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spans="1:26" x14ac:dyDescent="0.25">
      <c r="A164" s="206"/>
      <c r="B164" s="203"/>
      <c r="C164" s="203"/>
      <c r="D164" s="203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spans="1:26" x14ac:dyDescent="0.25">
      <c r="A165" s="206"/>
      <c r="B165" s="203"/>
      <c r="C165" s="203"/>
      <c r="D165" s="203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spans="1:26" x14ac:dyDescent="0.25">
      <c r="A166" s="206"/>
      <c r="B166" s="203"/>
      <c r="C166" s="203"/>
      <c r="D166" s="203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spans="1:26" x14ac:dyDescent="0.25">
      <c r="A167" s="206"/>
      <c r="B167" s="203"/>
      <c r="C167" s="203"/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spans="1:26" x14ac:dyDescent="0.25">
      <c r="A168" s="206"/>
      <c r="B168" s="203"/>
      <c r="C168" s="203"/>
      <c r="D168" s="203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spans="1:26" x14ac:dyDescent="0.25">
      <c r="A169" s="206"/>
      <c r="B169" s="203"/>
      <c r="C169" s="203"/>
      <c r="D169" s="203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spans="1:26" x14ac:dyDescent="0.25">
      <c r="A170" s="206"/>
      <c r="B170" s="203"/>
      <c r="C170" s="203"/>
      <c r="D170" s="203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spans="1:26" x14ac:dyDescent="0.25">
      <c r="A171" s="206"/>
      <c r="B171" s="203"/>
      <c r="C171" s="203"/>
      <c r="D171" s="203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spans="1:26" x14ac:dyDescent="0.25">
      <c r="A172" s="206"/>
      <c r="B172" s="203"/>
      <c r="C172" s="203"/>
      <c r="D172" s="203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spans="1:26" x14ac:dyDescent="0.25">
      <c r="A173" s="206"/>
      <c r="B173" s="203"/>
      <c r="C173" s="203"/>
      <c r="D173" s="203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spans="1:26" x14ac:dyDescent="0.25">
      <c r="A174" s="206"/>
      <c r="B174" s="203"/>
      <c r="C174" s="203"/>
      <c r="D174" s="203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spans="1:26" x14ac:dyDescent="0.25">
      <c r="A175" s="206"/>
      <c r="B175" s="203"/>
      <c r="C175" s="203"/>
      <c r="D175" s="203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spans="1:26" x14ac:dyDescent="0.25">
      <c r="A176" s="206"/>
      <c r="B176" s="203"/>
      <c r="C176" s="203"/>
      <c r="D176" s="203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spans="1:26" x14ac:dyDescent="0.25">
      <c r="A177" s="206"/>
      <c r="B177" s="203"/>
      <c r="C177" s="203"/>
      <c r="D177" s="203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spans="1:26" x14ac:dyDescent="0.25">
      <c r="A178" s="206"/>
      <c r="B178" s="203"/>
      <c r="C178" s="203"/>
      <c r="D178" s="203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spans="1:26" x14ac:dyDescent="0.25">
      <c r="A179" s="206"/>
      <c r="B179" s="203"/>
      <c r="C179" s="203"/>
      <c r="D179" s="203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spans="1:26" x14ac:dyDescent="0.25">
      <c r="A180" s="206"/>
      <c r="B180" s="203"/>
      <c r="C180" s="203"/>
      <c r="D180" s="203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spans="1:26" x14ac:dyDescent="0.25">
      <c r="A181" s="206"/>
      <c r="B181" s="203"/>
      <c r="C181" s="203"/>
      <c r="D181" s="203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spans="1:26" x14ac:dyDescent="0.25">
      <c r="A182" s="206"/>
      <c r="B182" s="203"/>
      <c r="C182" s="203"/>
      <c r="D182" s="203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spans="1:26" x14ac:dyDescent="0.25">
      <c r="A183" s="206"/>
      <c r="B183" s="203"/>
      <c r="C183" s="203"/>
      <c r="D183" s="203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spans="1:26" x14ac:dyDescent="0.25">
      <c r="A184" s="206"/>
      <c r="B184" s="203"/>
      <c r="C184" s="203"/>
      <c r="D184" s="203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spans="1:26" x14ac:dyDescent="0.25">
      <c r="A185" s="206"/>
      <c r="B185" s="203"/>
      <c r="C185" s="203"/>
      <c r="D185" s="203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spans="1:26" x14ac:dyDescent="0.25">
      <c r="A186" s="206"/>
      <c r="B186" s="203"/>
      <c r="C186" s="203"/>
      <c r="D186" s="203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spans="1:26" x14ac:dyDescent="0.25">
      <c r="A187" s="206"/>
      <c r="B187" s="203"/>
      <c r="C187" s="203"/>
      <c r="D187" s="203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spans="1:26" x14ac:dyDescent="0.25">
      <c r="A188" s="206"/>
      <c r="B188" s="203"/>
      <c r="C188" s="203"/>
      <c r="D188" s="203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spans="1:26" x14ac:dyDescent="0.25">
      <c r="A189" s="206"/>
      <c r="B189" s="203"/>
      <c r="C189" s="203"/>
      <c r="D189" s="203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spans="1:26" x14ac:dyDescent="0.25">
      <c r="A190" s="206"/>
      <c r="B190" s="203"/>
      <c r="C190" s="203"/>
      <c r="D190" s="203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spans="1:26" x14ac:dyDescent="0.25">
      <c r="A191" s="206"/>
      <c r="B191" s="203"/>
      <c r="C191" s="203"/>
      <c r="D191" s="203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spans="1:26" x14ac:dyDescent="0.25">
      <c r="A192" s="206"/>
      <c r="B192" s="203"/>
      <c r="C192" s="203"/>
      <c r="D192" s="203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spans="1:26" x14ac:dyDescent="0.25">
      <c r="A193" s="206"/>
      <c r="B193" s="203"/>
      <c r="C193" s="203"/>
      <c r="D193" s="203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spans="1:26" x14ac:dyDescent="0.25">
      <c r="A194" s="206"/>
      <c r="B194" s="203"/>
      <c r="C194" s="203"/>
      <c r="D194" s="203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spans="1:26" x14ac:dyDescent="0.25">
      <c r="A195" s="206"/>
      <c r="B195" s="203"/>
      <c r="C195" s="203"/>
      <c r="D195" s="203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spans="1:26" x14ac:dyDescent="0.25">
      <c r="A196" s="206"/>
      <c r="B196" s="203"/>
      <c r="C196" s="203"/>
      <c r="D196" s="203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spans="1:26" x14ac:dyDescent="0.25">
      <c r="A197" s="206"/>
      <c r="B197" s="203"/>
      <c r="C197" s="203"/>
      <c r="D197" s="203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spans="1:26" x14ac:dyDescent="0.25">
      <c r="A198" s="206"/>
      <c r="B198" s="203"/>
      <c r="C198" s="203"/>
      <c r="D198" s="203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spans="1:26" x14ac:dyDescent="0.25">
      <c r="A199" s="206"/>
      <c r="B199" s="203"/>
      <c r="C199" s="203"/>
      <c r="D199" s="203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spans="1:26" x14ac:dyDescent="0.25">
      <c r="A200" s="206"/>
      <c r="B200" s="203"/>
      <c r="C200" s="203"/>
      <c r="D200" s="203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spans="1:26" x14ac:dyDescent="0.25">
      <c r="A201" s="206"/>
      <c r="B201" s="203"/>
      <c r="C201" s="203"/>
      <c r="D201" s="203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spans="1:26" x14ac:dyDescent="0.25">
      <c r="A202" s="206"/>
      <c r="B202" s="203"/>
      <c r="C202" s="203"/>
      <c r="D202" s="203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spans="1:26" x14ac:dyDescent="0.25">
      <c r="A203" s="206"/>
      <c r="B203" s="203"/>
      <c r="C203" s="203"/>
      <c r="D203" s="203"/>
      <c r="E203" s="203"/>
      <c r="F203" s="203"/>
      <c r="G203" s="203"/>
      <c r="H203" s="203"/>
      <c r="I203" s="203"/>
      <c r="J203" s="203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spans="1:26" x14ac:dyDescent="0.25">
      <c r="A204" s="206"/>
      <c r="B204" s="203"/>
      <c r="C204" s="203"/>
      <c r="D204" s="203"/>
      <c r="E204" s="203"/>
      <c r="F204" s="203"/>
      <c r="G204" s="203"/>
      <c r="H204" s="203"/>
      <c r="I204" s="203"/>
      <c r="J204" s="203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spans="1:26" x14ac:dyDescent="0.25">
      <c r="A205" s="206"/>
      <c r="B205" s="203"/>
      <c r="C205" s="203"/>
      <c r="D205" s="203"/>
      <c r="E205" s="203"/>
      <c r="F205" s="203"/>
      <c r="G205" s="203"/>
      <c r="H205" s="203"/>
      <c r="I205" s="203"/>
      <c r="J205" s="203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spans="1:26" x14ac:dyDescent="0.25">
      <c r="A206" s="206"/>
      <c r="B206" s="203"/>
      <c r="C206" s="203"/>
      <c r="D206" s="203"/>
      <c r="E206" s="203"/>
      <c r="F206" s="203"/>
      <c r="G206" s="203"/>
      <c r="H206" s="203"/>
      <c r="I206" s="203"/>
      <c r="J206" s="203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spans="1:26" x14ac:dyDescent="0.25">
      <c r="A207" s="206"/>
      <c r="B207" s="203"/>
      <c r="C207" s="203"/>
      <c r="D207" s="203"/>
      <c r="E207" s="203"/>
      <c r="F207" s="203"/>
      <c r="G207" s="203"/>
      <c r="H207" s="203"/>
      <c r="I207" s="203"/>
      <c r="J207" s="203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spans="1:26" x14ac:dyDescent="0.25">
      <c r="A208" s="206"/>
      <c r="B208" s="203"/>
      <c r="C208" s="203"/>
      <c r="D208" s="203"/>
      <c r="E208" s="203"/>
      <c r="F208" s="203"/>
      <c r="G208" s="203"/>
      <c r="H208" s="203"/>
      <c r="I208" s="203"/>
      <c r="J208" s="203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spans="1:26" x14ac:dyDescent="0.25">
      <c r="A209" s="206"/>
      <c r="B209" s="203"/>
      <c r="C209" s="203"/>
      <c r="D209" s="203"/>
      <c r="E209" s="203"/>
      <c r="F209" s="203"/>
      <c r="G209" s="203"/>
      <c r="H209" s="203"/>
      <c r="I209" s="203"/>
      <c r="J209" s="203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spans="1:26" x14ac:dyDescent="0.25">
      <c r="A210" s="206"/>
      <c r="B210" s="203"/>
      <c r="C210" s="203"/>
      <c r="D210" s="203"/>
      <c r="E210" s="203"/>
      <c r="F210" s="203"/>
      <c r="G210" s="203"/>
      <c r="H210" s="203"/>
      <c r="I210" s="203"/>
      <c r="J210" s="203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spans="1:26" x14ac:dyDescent="0.25">
      <c r="A211" s="206"/>
      <c r="B211" s="203"/>
      <c r="C211" s="203"/>
      <c r="D211" s="203"/>
      <c r="E211" s="203"/>
      <c r="F211" s="203"/>
      <c r="G211" s="203"/>
      <c r="H211" s="203"/>
      <c r="I211" s="203"/>
      <c r="J211" s="203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spans="1:26" x14ac:dyDescent="0.25">
      <c r="A212" s="206"/>
      <c r="B212" s="203"/>
      <c r="C212" s="203"/>
      <c r="D212" s="203"/>
      <c r="E212" s="203"/>
      <c r="F212" s="203"/>
      <c r="G212" s="203"/>
      <c r="H212" s="203"/>
      <c r="I212" s="203"/>
      <c r="J212" s="203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spans="1:26" x14ac:dyDescent="0.25">
      <c r="A213" s="206"/>
      <c r="B213" s="203"/>
      <c r="C213" s="203"/>
      <c r="D213" s="203"/>
      <c r="E213" s="203"/>
      <c r="F213" s="203"/>
      <c r="G213" s="203"/>
      <c r="H213" s="203"/>
      <c r="I213" s="203"/>
      <c r="J213" s="203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</sheetData>
  <mergeCells count="3">
    <mergeCell ref="D2:D3"/>
    <mergeCell ref="E2:E3"/>
    <mergeCell ref="A2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CC31-62DB-48B8-B7D5-4A17EECA82E5}">
  <dimension ref="A1:J13"/>
  <sheetViews>
    <sheetView zoomScale="130" zoomScaleNormal="130" workbookViewId="0">
      <selection activeCell="H5" sqref="H5"/>
    </sheetView>
  </sheetViews>
  <sheetFormatPr defaultRowHeight="13.2" x14ac:dyDescent="0.25"/>
  <cols>
    <col min="1" max="1" width="24.6640625" bestFit="1" customWidth="1"/>
    <col min="2" max="2" width="17.6640625" bestFit="1" customWidth="1"/>
    <col min="3" max="4" width="17.6640625" customWidth="1"/>
    <col min="5" max="5" width="17.6640625" bestFit="1" customWidth="1"/>
    <col min="6" max="7" width="17.6640625" customWidth="1"/>
    <col min="8" max="8" width="16.44140625" bestFit="1" customWidth="1"/>
  </cols>
  <sheetData>
    <row r="1" spans="1:10" x14ac:dyDescent="0.25">
      <c r="A1" s="320" t="s">
        <v>84</v>
      </c>
      <c r="B1" s="314" t="s">
        <v>0</v>
      </c>
      <c r="C1" s="315"/>
      <c r="D1" s="316"/>
      <c r="E1" s="317" t="s">
        <v>1</v>
      </c>
      <c r="F1" s="318"/>
      <c r="G1" s="319"/>
      <c r="H1" s="322" t="s">
        <v>88</v>
      </c>
    </row>
    <row r="2" spans="1:10" x14ac:dyDescent="0.25">
      <c r="A2" s="321"/>
      <c r="B2" s="11">
        <f>+'Table 1'!V5</f>
        <v>1470.75</v>
      </c>
      <c r="C2" s="11" t="s">
        <v>86</v>
      </c>
      <c r="D2" s="11" t="s">
        <v>87</v>
      </c>
      <c r="E2" s="8">
        <f>+'Table 1'!X5</f>
        <v>1812.39</v>
      </c>
      <c r="F2" s="8" t="s">
        <v>86</v>
      </c>
      <c r="G2" s="8" t="s">
        <v>87</v>
      </c>
      <c r="H2" s="323"/>
    </row>
    <row r="3" spans="1:10" x14ac:dyDescent="0.25">
      <c r="A3" s="16" t="s">
        <v>4</v>
      </c>
      <c r="B3" s="12">
        <f>+[10]Abstract!$H$137</f>
        <v>26797156</v>
      </c>
      <c r="C3" s="13">
        <f>+'Table 1'!F5</f>
        <v>124.95</v>
      </c>
      <c r="D3" s="13">
        <f>+B3/C3</f>
        <v>214463.03321328532</v>
      </c>
      <c r="E3" s="14">
        <f>+[3]Abstract!$H$137</f>
        <v>29292474</v>
      </c>
      <c r="F3" s="15">
        <f>+'Table 1'!G5</f>
        <v>149.41999999999999</v>
      </c>
      <c r="G3" s="10">
        <f>+E3/F3</f>
        <v>196041.18591888639</v>
      </c>
      <c r="H3" s="18">
        <f t="shared" ref="H3:H10" si="0">+E3-B3</f>
        <v>2495318</v>
      </c>
    </row>
    <row r="4" spans="1:10" ht="26.4" x14ac:dyDescent="0.25">
      <c r="A4" s="17" t="s">
        <v>79</v>
      </c>
      <c r="B4" s="12">
        <f>+[11]Abstract!$H$136</f>
        <v>7050991</v>
      </c>
      <c r="C4" s="13">
        <f>+'Table 1'!H5</f>
        <v>47.610999999999997</v>
      </c>
      <c r="D4" s="13">
        <f t="shared" ref="D4:D9" si="1">+B4/C4</f>
        <v>148095.83919682426</v>
      </c>
      <c r="E4" s="14">
        <f>+[4]Abstract!$H$136</f>
        <v>7920550</v>
      </c>
      <c r="F4" s="15">
        <f>+'Table 1'!I5</f>
        <v>58.72</v>
      </c>
      <c r="G4" s="10">
        <f t="shared" ref="G4:G9" si="2">+E4/F4</f>
        <v>134886.7506811989</v>
      </c>
      <c r="H4" s="18">
        <f t="shared" si="0"/>
        <v>869559</v>
      </c>
    </row>
    <row r="5" spans="1:10" ht="26.4" x14ac:dyDescent="0.25">
      <c r="A5" s="17" t="s">
        <v>80</v>
      </c>
      <c r="B5" s="12">
        <f>+[12]Abstract!$H$137</f>
        <v>100619832</v>
      </c>
      <c r="C5" s="13">
        <f>+'Table 1'!J5</f>
        <v>454.04</v>
      </c>
      <c r="D5" s="13">
        <f t="shared" si="1"/>
        <v>221610.06078759581</v>
      </c>
      <c r="E5" s="14">
        <f>+[5]Abstract!$H$137</f>
        <v>95180630</v>
      </c>
      <c r="F5" s="15">
        <f>+'Table 1'!K5</f>
        <v>530.14</v>
      </c>
      <c r="G5" s="10">
        <f t="shared" si="2"/>
        <v>179538.66903082206</v>
      </c>
      <c r="H5" s="18">
        <f t="shared" si="0"/>
        <v>-5439202</v>
      </c>
    </row>
    <row r="6" spans="1:10" ht="26.4" x14ac:dyDescent="0.25">
      <c r="A6" s="17" t="s">
        <v>76</v>
      </c>
      <c r="B6" s="12">
        <f>+[13]Abstract!$H$132</f>
        <v>11917084</v>
      </c>
      <c r="C6" s="13">
        <f>+'Table 1'!L5</f>
        <v>52.19</v>
      </c>
      <c r="D6" s="13">
        <f t="shared" si="1"/>
        <v>228340.37171872007</v>
      </c>
      <c r="E6" s="14">
        <f>+[6]Abstract!$H$132</f>
        <v>11890947</v>
      </c>
      <c r="F6" s="15">
        <f>+'Table 1'!M5</f>
        <v>77.92</v>
      </c>
      <c r="G6" s="10">
        <f t="shared" si="2"/>
        <v>152604.55595482545</v>
      </c>
      <c r="H6" s="18">
        <f t="shared" si="0"/>
        <v>-26137</v>
      </c>
    </row>
    <row r="7" spans="1:10" ht="26.4" x14ac:dyDescent="0.25">
      <c r="A7" s="17" t="s">
        <v>81</v>
      </c>
      <c r="B7" s="12">
        <f>+[14]Abstract!$H$133</f>
        <v>31809007</v>
      </c>
      <c r="C7" s="13">
        <f>+'Table 1'!N5</f>
        <v>164.88</v>
      </c>
      <c r="D7" s="13">
        <f t="shared" si="1"/>
        <v>192922.16763706939</v>
      </c>
      <c r="E7" s="14">
        <f>+[7]Abstract!$H$133</f>
        <v>30191058</v>
      </c>
      <c r="F7" s="15">
        <f>+'Table 1'!O5</f>
        <v>221.79</v>
      </c>
      <c r="G7" s="10">
        <f t="shared" si="2"/>
        <v>136124.52319761936</v>
      </c>
      <c r="H7" s="18">
        <f t="shared" si="0"/>
        <v>-1617949</v>
      </c>
    </row>
    <row r="8" spans="1:10" ht="26.4" x14ac:dyDescent="0.25">
      <c r="A8" s="17" t="s">
        <v>82</v>
      </c>
      <c r="B8" s="12">
        <f>+[15]Abstract!$H$133</f>
        <v>80359545</v>
      </c>
      <c r="C8" s="13">
        <f>+'Table 1'!P5</f>
        <v>493.50200000000001</v>
      </c>
      <c r="D8" s="13">
        <f t="shared" si="1"/>
        <v>162835.29752665642</v>
      </c>
      <c r="E8" s="14">
        <f>+[8]Abstract!$H$133</f>
        <v>94968184</v>
      </c>
      <c r="F8" s="15">
        <f>+'Table 1'!Q5</f>
        <v>612.33000000000004</v>
      </c>
      <c r="G8" s="10">
        <f t="shared" si="2"/>
        <v>155093.1425865138</v>
      </c>
      <c r="H8" s="18">
        <f t="shared" si="0"/>
        <v>14608639</v>
      </c>
    </row>
    <row r="9" spans="1:10" ht="26.4" x14ac:dyDescent="0.25">
      <c r="A9" s="17" t="s">
        <v>83</v>
      </c>
      <c r="B9" s="12">
        <f>+[16]Abstract!$H$133</f>
        <v>30708741</v>
      </c>
      <c r="C9" s="13">
        <f>+'Table 1'!R5</f>
        <v>133.58000000000001</v>
      </c>
      <c r="D9" s="13">
        <f t="shared" si="1"/>
        <v>229890.26051804161</v>
      </c>
      <c r="E9" s="14">
        <f>+[9]Abstract!$H$133</f>
        <v>26500987</v>
      </c>
      <c r="F9" s="15">
        <f>+'Table 1'!S5</f>
        <v>162.07</v>
      </c>
      <c r="G9" s="10">
        <f t="shared" si="2"/>
        <v>163515.68458073674</v>
      </c>
      <c r="H9" s="18">
        <f t="shared" si="0"/>
        <v>-4207754</v>
      </c>
    </row>
    <row r="10" spans="1:10" x14ac:dyDescent="0.25">
      <c r="A10" s="7" t="s">
        <v>85</v>
      </c>
      <c r="B10" s="6">
        <f>SUM(B3:B9)</f>
        <v>289262356</v>
      </c>
      <c r="C10" s="9">
        <f>SUM(C3:C9)</f>
        <v>1470.7529999999999</v>
      </c>
      <c r="D10" s="9"/>
      <c r="E10" s="6">
        <f>SUM(E3:E9)</f>
        <v>295944830</v>
      </c>
      <c r="F10" s="9">
        <f>SUM(F3:F9)</f>
        <v>1812.39</v>
      </c>
      <c r="G10" s="6"/>
      <c r="H10" s="6">
        <f t="shared" si="0"/>
        <v>6682474</v>
      </c>
      <c r="I10">
        <f>+B10/B2</f>
        <v>196676.7676355601</v>
      </c>
      <c r="J10">
        <f>+E10/E2</f>
        <v>163289.81620953546</v>
      </c>
    </row>
    <row r="11" spans="1:10" x14ac:dyDescent="0.25">
      <c r="F11" s="20">
        <f>+F10-C10</f>
        <v>341.63700000000017</v>
      </c>
    </row>
    <row r="12" spans="1:10" x14ac:dyDescent="0.25">
      <c r="B12">
        <v>289259871</v>
      </c>
      <c r="F12" s="19">
        <f>+F11/C10</f>
        <v>0.23228713454944522</v>
      </c>
      <c r="H12" s="19">
        <f>+H10/B10</f>
        <v>2.3101775469186871E-2</v>
      </c>
    </row>
    <row r="13" spans="1:10" x14ac:dyDescent="0.25">
      <c r="B13" s="5">
        <f>+B10-B12</f>
        <v>2485</v>
      </c>
    </row>
  </sheetData>
  <mergeCells count="4">
    <mergeCell ref="B1:D1"/>
    <mergeCell ref="E1:G1"/>
    <mergeCell ref="A1:A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Table 1</vt:lpstr>
      <vt:lpstr>Sheet1</vt:lpstr>
      <vt:lpstr>COMPARITIVE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Devashish Godse</cp:lastModifiedBy>
  <cp:lastPrinted>2025-07-19T11:29:14Z</cp:lastPrinted>
  <dcterms:created xsi:type="dcterms:W3CDTF">2025-07-05T04:49:27Z</dcterms:created>
  <dcterms:modified xsi:type="dcterms:W3CDTF">2026-10-15T09:03:48Z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2025-06-28T00:00:00Z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2025-07-05T00:00:00Z</vt:filetime>
  </property>
  <property fmtid="{D5CDD505-2E9C-101B-9397-08002B2CF9AE}" pid="5" name="Producer">
    <vt:lpwstr>Microsoft® Excel® 2019</vt:lpwstr>
  </property>
</Properties>
</file>